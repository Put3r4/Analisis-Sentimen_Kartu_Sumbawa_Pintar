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Saputra Budiman\Analisis Sentimen_KSP\data\data_labelling\"/>
    </mc:Choice>
  </mc:AlternateContent>
  <xr:revisionPtr revIDLastSave="0" documentId="13_ncr:1_{A53EBFCF-D9D5-49CF-AC19-17BBDB1EB535}" xr6:coauthVersionLast="47" xr6:coauthVersionMax="47" xr10:uidLastSave="{00000000-0000-0000-0000-000000000000}"/>
  <bookViews>
    <workbookView xWindow="-110" yWindow="-110" windowWidth="19420" windowHeight="10300" tabRatio="500" activeTab="1" xr2:uid="{00000000-000D-0000-FFFF-FFFF00000000}"/>
  </bookViews>
  <sheets>
    <sheet name="Panduan Labeling" sheetId="1" r:id="rId1"/>
    <sheet name="Data Komentar" sheetId="2" r:id="rId2"/>
    <sheet name="Referensi" sheetId="3" state="hidden" r:id="rId3"/>
  </sheets>
  <definedNames>
    <definedName name="_xlnm._FilterDatabase" localSheetId="1" hidden="1">'Data Komentar'!$A$1:$N$474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4" i="1" l="1"/>
  <c r="B31" i="1"/>
  <c r="B30" i="1"/>
  <c r="B32" i="1" l="1"/>
  <c r="B33" i="1"/>
</calcChain>
</file>

<file path=xl/sharedStrings.xml><?xml version="1.0" encoding="utf-8"?>
<sst xmlns="http://schemas.openxmlformats.org/spreadsheetml/2006/main" count="4819" uniqueCount="1378">
  <si>
    <t>Panduan Labeling — Komentar Program KSP (Kartu Sumbawa Pintar)</t>
  </si>
  <si>
    <t>Dataset ini berisi komentar Facebook warganet terkait program KSP milik Pemda Sumbawa. Gunakan panduan berikut untuk mengisi kolom 'Kategori Isu' dan 'Sentimen' di sheet 'Data Komentar'. Kolom tersebut sudah dilengkapi dropdown — klik sel untuk memilih dari daftar, tidak perlu mengetik manual.</t>
  </si>
  <si>
    <t>Ada juga kolom 'Saran Kategori (Draf)' dan 'Saran Sentimen (Draf)' yang berisi tebakan otomatis berbasis kata kunci — gunakan sebagai titik awal, lalu koreksi jika kurang tepat. Baris berlabel 'Perlu Ditinjau Manual' berarti sistem tidak menemukan pola yang jelas, jadi perlu dibaca dan diberi label sendiri.</t>
  </si>
  <si>
    <t>1. Kategori Isu</t>
  </si>
  <si>
    <t>Kategori</t>
  </si>
  <si>
    <t>Definisi</t>
  </si>
  <si>
    <t>Contoh dari data</t>
  </si>
  <si>
    <t>Kapan dipakai</t>
  </si>
  <si>
    <t>Apresiasi/Dukungan</t>
  </si>
  <si>
    <t>Pujian atau dukungan positif terhadap program/pemerintah, tanpa pertanyaan atau kritik.</t>
  </si>
  <si>
    <t>"Mantapa ada kartu sumbawa pinter" / "Mantap bos Rektor hebat"</t>
  </si>
  <si>
    <t>Komentar berisi pujian, ucapan selamat, atau dukungan tanpa maksud lain.</t>
  </si>
  <si>
    <t>Doa/Harapan</t>
  </si>
  <si>
    <t>Ucapan doa, harapan, atau ungkapan religius terkait program (tidak berisi kritik/pertanyaan).</t>
  </si>
  <si>
    <t>"Aamiin ya Allah" / "Semoga tepat sasaran program nya"</t>
  </si>
  <si>
    <t>Fokus komentar adalah doa atau harapan baik.</t>
  </si>
  <si>
    <t>Pertanyaan Prosedur &amp; Persyaratan</t>
  </si>
  <si>
    <t>Menanyakan cara mendaftar, syarat, atau mekanisme mendapatkan kartu.</t>
  </si>
  <si>
    <t>"Gmn cara daftarnya kak?" / "Klu boleh tau gimana katagorinya yg dpt kartu?"</t>
  </si>
  <si>
    <t>Ada pertanyaan eksplisit soal cara/daftar/syarat.</t>
  </si>
  <si>
    <t>Klarifikasi Cakupan Program</t>
  </si>
  <si>
    <t>Menanyakan atau membahas siapa/jenjang/kampus mana yang termasuk cakupan program (S1/S2/S3, kampus tertentu, kategori pekerja).</t>
  </si>
  <si>
    <t>"Apa kartu ini bisa dipakai untuk jenjang S2?" / menyebut kampus tertentu belum terekspos program</t>
  </si>
  <si>
    <t>Isu soal cakupan/eligibilitas, bukan sekadar cara daftar.</t>
  </si>
  <si>
    <t>Kritik/Keluhan</t>
  </si>
  <si>
    <t>Kritik terhadap pelaksanaan program: keterlambatan, ketidakmerataan, transparansi, dugaan tidak tepat sasaran.</t>
  </si>
  <si>
    <t>"Kenapa KSP nya ndak dari tingkat SD, SMP, SMA pak" / "jangan kayak PIP banyak yang salah sasaran"</t>
  </si>
  <si>
    <t>Ada nada kritik atau kekhawatiran soal pelaksanaan program.</t>
  </si>
  <si>
    <t>Permohonan Bantuan Pribadi</t>
  </si>
  <si>
    <t>Meminta bantuan langsung untuk diri sendiri/keluarga, di luar prosedur resmi program.</t>
  </si>
  <si>
    <t>"Sedekah kan satu buat anak saya pak Bupati" / "tolong perbaiki jalan pak jarot"</t>
  </si>
  <si>
    <t>Permintaan personal, bukan pertanyaan prosedur umum.</t>
  </si>
  <si>
    <t>Interaksi Sosial Antar Warganet</t>
  </si>
  <si>
    <t>Balasan antar sesama warganet yang bersifat obrolan personal, tag nama, basa-basi, tidak menyentuh isu program.</t>
  </si>
  <si>
    <t>"Dwi Rahayu MJ iya mbak terimakasih banyak..." (balasan personal antar user)</t>
  </si>
  <si>
    <t>Komentar berupa reply personal antar user, tidak membahas program.</t>
  </si>
  <si>
    <t>Tidak Relevan/Tidak Jelas</t>
  </si>
  <si>
    <t>Bahasa daerah, singkatan, atau kalimat yang tidak dapat diinterpretasikan maknanya terkait isu program.</t>
  </si>
  <si>
    <t>"Sate ku dadi tau pintar bau kena kartu nan." / "Enda ka rungan2 kartu ble"</t>
  </si>
  <si>
    <t>Isi komentar tidak dapat dipahami/tidak relevan dengan topik.</t>
  </si>
  <si>
    <t>2. Sentimen</t>
  </si>
  <si>
    <t>Label</t>
  </si>
  <si>
    <t>Contoh</t>
  </si>
  <si>
    <t>Positif</t>
  </si>
  <si>
    <t>Nada mendukung, senang, berterima kasih, atau berdoa baik terhadap program.</t>
  </si>
  <si>
    <t>"Terima kasih pak, semoga bermanfaat"</t>
  </si>
  <si>
    <t>Negatif</t>
  </si>
  <si>
    <t>Nada kecewa, mengkritik, mempertanyakan secara sinis, atau mengeluh.</t>
  </si>
  <si>
    <t>"Kenapa belum sampai kampus kami padahal sudah dijanjikan"</t>
  </si>
  <si>
    <t>Netral</t>
  </si>
  <si>
    <t>Sekadar bertanya info/prosedur, atau pernyataan tanpa muatan emosi jelas.</t>
  </si>
  <si>
    <t>"Bagaimana cara mendapatkan kartu ini?"</t>
  </si>
  <si>
    <t>3. Catatan Analis</t>
  </si>
  <si>
    <t>Kolom bebas untuk catatan singkat analis, misalnya: alasan pelabelan yang ambigu, kutipan kata kunci penting, atau tanda 'perlu verifikasi'. Tidak wajib diisi untuk setiap baris — isi terutama untuk komentar yang labelnya tidak jelas/perlu justifikasi.</t>
  </si>
  <si>
    <t>Progres Pelabelan (otomatis update)</t>
  </si>
  <si>
    <t>Total komentar</t>
  </si>
  <si>
    <t>Sudah dilabel (Kategori Isu terisi)</t>
  </si>
  <si>
    <t>Belum dilabel</t>
  </si>
  <si>
    <t>Persentase selesai</t>
  </si>
  <si>
    <t>Baris 'Perlu Ditinjau Manual' yang masih kosong</t>
  </si>
  <si>
    <t>Catatan: Warna merah pada kolom Kategori Isu/Sentimen = belum dilabel, hijau = sudah dilabel, kuning pada satu baris = sistem menandai perlu ditinjau manual. Dropdown sudah aktif di kolom Kategori Isu dan Sentimen.</t>
  </si>
  <si>
    <t>No</t>
  </si>
  <si>
    <t>Tanggal</t>
  </si>
  <si>
    <t>Platform/Sumber</t>
  </si>
  <si>
    <t>Nama Akun</t>
  </si>
  <si>
    <t>Isi Komentar</t>
  </si>
  <si>
    <t>Link Sumber</t>
  </si>
  <si>
    <t>Jenis</t>
  </si>
  <si>
    <t>Jumlah_Like</t>
  </si>
  <si>
    <t>Jumlah_Balasan</t>
  </si>
  <si>
    <t>Waktu_Komentar_WITA</t>
  </si>
  <si>
    <t>Akun_Sumber_Postingan</t>
  </si>
  <si>
    <t>Kategori Isu</t>
  </si>
  <si>
    <t>Sentimen</t>
  </si>
  <si>
    <t>Catatan Analis</t>
  </si>
  <si>
    <t>2026-07-20</t>
  </si>
  <si>
    <t>Facebook</t>
  </si>
  <si>
    <t>Mawaddah</t>
  </si>
  <si>
    <t>Aamiin ya Allah 🤲🤲🤲
Palagi kami tau ngk mampu roa gama na pee</t>
  </si>
  <si>
    <t>https://web.facebook.com/share/p/14pCZ7PF3ZF/</t>
  </si>
  <si>
    <t>Komentar Utama</t>
  </si>
  <si>
    <t>2026-07-20 22:36:48</t>
  </si>
  <si>
    <t>Abdi-nha Wibawa</t>
  </si>
  <si>
    <t>Mawaddah aamiin 🤲</t>
  </si>
  <si>
    <t>Balasan</t>
  </si>
  <si>
    <t>2026-07-20 23:02:03</t>
  </si>
  <si>
    <t>2026-07-21</t>
  </si>
  <si>
    <t>James Buer</t>
  </si>
  <si>
    <t>Amin dik</t>
  </si>
  <si>
    <t>2026-07-21 08:11:13</t>
  </si>
  <si>
    <t>Tsamri AL Iman</t>
  </si>
  <si>
    <t>Sate ku dadi tau pintar bau kena kartu nan.</t>
  </si>
  <si>
    <t>2026-07-21 09:50:33</t>
  </si>
  <si>
    <t>Ana Try Wadi</t>
  </si>
  <si>
    <t>Pang ksb ta saser kk
Kaleng TK sampai kuliah</t>
  </si>
  <si>
    <t>2026-07-21 10:20:34</t>
  </si>
  <si>
    <t>Ana Try Wadi roa gama saser pang ta kena e</t>
  </si>
  <si>
    <t>2026-07-21 10:36:47</t>
  </si>
  <si>
    <t>Ana Try Wadi
Masyaallah dik..roa gama pang kami Nn Luk na pe</t>
  </si>
  <si>
    <t>2026-07-21 10:40:17</t>
  </si>
  <si>
    <t>Rosliana</t>
  </si>
  <si>
    <t>Maasyaa Allah...
Sehat sllu ibudosen ....🥰</t>
  </si>
  <si>
    <t>https://web.facebook.com/share/p/1J2itfBprs/</t>
  </si>
  <si>
    <t>2026-07-20 16:56:21</t>
  </si>
  <si>
    <t>Agustina Sukardi</t>
  </si>
  <si>
    <t>Rosliana Aamiin makasih nakwai</t>
  </si>
  <si>
    <t>2026-07-20 20:05:15</t>
  </si>
  <si>
    <t>Tini Kar Saya kak</t>
  </si>
  <si>
    <t>2026-07-20 20:05:27</t>
  </si>
  <si>
    <t>Ramlafatma</t>
  </si>
  <si>
    <t>Alhamdulillah....</t>
  </si>
  <si>
    <t>2026-07-21 07:13:51</t>
  </si>
  <si>
    <t>Neli Agustina</t>
  </si>
  <si>
    <t>Gmn cara daftarnya kak tina? Aku mau suruh adekku dftar.. Dy jg kuliah di uts</t>
  </si>
  <si>
    <t>2026-07-21 16:01:09</t>
  </si>
  <si>
    <t>Mikel Jr.</t>
  </si>
  <si>
    <t>Semoga program ini tepat sasaran</t>
  </si>
  <si>
    <t>https://www.facebook.com/share/p/1F7s4wJHmT/</t>
  </si>
  <si>
    <t>2026-07-20 17:11:10</t>
  </si>
  <si>
    <t>Belum diketahui</t>
  </si>
  <si>
    <t>Ori Rohida</t>
  </si>
  <si>
    <t>Assalamualaikum pak Bupati 
Untuk program ini, apa bisa untuk mahasiswa yang S3 ,</t>
  </si>
  <si>
    <t>2026-07-20 17:12:51</t>
  </si>
  <si>
    <t>Banu Baturomong</t>
  </si>
  <si>
    <t>Semoga bermanfaat dan tidak salah sasaran</t>
  </si>
  <si>
    <t>2026-07-20 17:25:07</t>
  </si>
  <si>
    <t>Ishak Syahril</t>
  </si>
  <si>
    <t>berikan jga ke saudara saudari kita yg paruh waktu Pak Bupati mereka jga gajinya satu juta biaya sekolah anak2nya ga mungkin mencukupi paruh waktu garda terdepan pencari PAD kabupaten Sumbawa mohon untuk di perjuangkan 🙏🙏🙏🙏🙏</t>
  </si>
  <si>
    <t>2026-07-20 18:09:39</t>
  </si>
  <si>
    <t>Raja Tega</t>
  </si>
  <si>
    <t>Moga program nie tetap sasaran dan layak mendapatkan siswi dan siswa yng tidak mampu</t>
  </si>
  <si>
    <t>2026-07-20 18:10:00</t>
  </si>
  <si>
    <t>Bayu</t>
  </si>
  <si>
    <t>Alhamdulillah, semoga sehat selalu pak bupati, 🤲🙏</t>
  </si>
  <si>
    <t>2026-07-20 18:25:19</t>
  </si>
  <si>
    <t>Cutul Putra</t>
  </si>
  <si>
    <t>MaaSyaa Allah 🙏🙏👌 Mantap Mantap Mantap 👌🙏👌 Colek Haris Anwar Rowa gama bau ada Kartu nan tawa mahasiswa Teknik Lingkungan de kuliah pang UII Yogyakarta ana peew 🫣🫣🫣</t>
  </si>
  <si>
    <t>2026-07-20 18:42:39</t>
  </si>
  <si>
    <t>Mana Hesty</t>
  </si>
  <si>
    <t>Aamiin</t>
  </si>
  <si>
    <t>2026-07-20 18:52:39</t>
  </si>
  <si>
    <t>Bang Gozi Apniwansyah</t>
  </si>
  <si>
    <t>Kreeennn</t>
  </si>
  <si>
    <t>2026-07-20 19:00:33</t>
  </si>
  <si>
    <t>Ruddy Rata Bak</t>
  </si>
  <si>
    <t>Amiin</t>
  </si>
  <si>
    <t>2026-07-20 19:02:53</t>
  </si>
  <si>
    <t>Pra Tiwi</t>
  </si>
  <si>
    <t>Dipastikan tepat sasaran pak</t>
  </si>
  <si>
    <t>2026-07-20 19:13:47</t>
  </si>
  <si>
    <t>Rungan Unter Gedong</t>
  </si>
  <si>
    <t>Aamiin ....bagaimana proses  untuk mendapatkan kartu sumbawa pintar pak Bupati?</t>
  </si>
  <si>
    <t>2026-07-20 19:32:47</t>
  </si>
  <si>
    <t>Maik Meres</t>
  </si>
  <si>
    <t>Mantapa ada kartu sumbawa pinter</t>
  </si>
  <si>
    <t>2026-07-20 19:39:36</t>
  </si>
  <si>
    <t>Wiwin Rizky Iqbal</t>
  </si>
  <si>
    <t>Semogah anak sya bisa dapat kartu itu pak</t>
  </si>
  <si>
    <t>2026-07-20 19:47:49</t>
  </si>
  <si>
    <t>Rahmi Nyazaitun</t>
  </si>
  <si>
    <t>Bemana cara mendapatkan kny</t>
  </si>
  <si>
    <t>2026-07-20 19:49:19</t>
  </si>
  <si>
    <t>Sofy Maryam Ippe</t>
  </si>
  <si>
    <t>Kuda kami nka dapat..syaa saya ne</t>
  </si>
  <si>
    <t>2026-07-20 19:53:17</t>
  </si>
  <si>
    <t>Whin Wina</t>
  </si>
  <si>
    <t>Bagaimana cara biar bisa dapat kartu Sumbawa pintar</t>
  </si>
  <si>
    <t>2026-07-20 19:55:56</t>
  </si>
  <si>
    <t>Mas Yadi</t>
  </si>
  <si>
    <t>Intinya jgn pilih kasih.</t>
  </si>
  <si>
    <t>2026-07-20 19:56:37</t>
  </si>
  <si>
    <t>Irma Eriesh</t>
  </si>
  <si>
    <t>MasyaAllah semoga segera terwujud....
Karna program2 ini insyaallah bisa meringankan buat masyarakat Sumbawa.....
Semoga dengan adax  program Kartu Sumbawa ...kota Sumbawa lebih Maju..dn sukses ke dpnx ...🥰🥰</t>
  </si>
  <si>
    <t>2026-07-20 19:58:42</t>
  </si>
  <si>
    <t>Melina Lina</t>
  </si>
  <si>
    <t>Sehat selalu pak bub</t>
  </si>
  <si>
    <t>2026-07-20 20:06:26</t>
  </si>
  <si>
    <t>Cece Sisca</t>
  </si>
  <si>
    <t>Aamiin yra🤲🤲🤲🤲</t>
  </si>
  <si>
    <t>2026-07-20 20:10:37</t>
  </si>
  <si>
    <t>Totang anak sy pak bupati🤲🤲🤲🙏🙏🙏</t>
  </si>
  <si>
    <t>2026-07-20 20:10:57</t>
  </si>
  <si>
    <t>Nurul Aini</t>
  </si>
  <si>
    <t>Pak bupati apa siswa di pondok dea malela juga dapat semoga anak saya dapat</t>
  </si>
  <si>
    <t>2026-07-20 20:14:17</t>
  </si>
  <si>
    <t>Hertati</t>
  </si>
  <si>
    <t>Mudah2an anak sy dpt</t>
  </si>
  <si>
    <t>2026-07-20 20:22:33</t>
  </si>
  <si>
    <t>Vik Yos</t>
  </si>
  <si>
    <t>Gmna cara mendapatkan kartu itu grup...sy blm ada</t>
  </si>
  <si>
    <t>2026-07-20 20:28:39</t>
  </si>
  <si>
    <t>Alimin Samawa</t>
  </si>
  <si>
    <t>Roa bau tukena kartu Sumbawa Pintar ta Pk Bupati😆🙏</t>
  </si>
  <si>
    <t>2026-07-20 20:30:33</t>
  </si>
  <si>
    <t>Diaz Kasih Pahu</t>
  </si>
  <si>
    <t>Semoga tepat sasaran</t>
  </si>
  <si>
    <t>2026-07-20 20:31:40</t>
  </si>
  <si>
    <t>Andi Ika</t>
  </si>
  <si>
    <t>Semoga anak sy dapat🤲</t>
  </si>
  <si>
    <t>2026-07-20 20:34:37</t>
  </si>
  <si>
    <t>M Ali Murtadlo</t>
  </si>
  <si>
    <t>Berkah mantap Sumbawa</t>
  </si>
  <si>
    <t>2026-07-20 20:35:52</t>
  </si>
  <si>
    <t>Dwie Syifa</t>
  </si>
  <si>
    <t>Kenapa KSP nya Ndak dari tingkat SD,SMP,dan SMA pak</t>
  </si>
  <si>
    <t>2026-07-20 20:38:30</t>
  </si>
  <si>
    <t>Nurhayati Harjo</t>
  </si>
  <si>
    <t>2026-07-20 20:42:53</t>
  </si>
  <si>
    <t>Aamiin yra</t>
  </si>
  <si>
    <t>2026-07-20 20:44:04</t>
  </si>
  <si>
    <t>Widy AmpoNg</t>
  </si>
  <si>
    <t>Bgaimna cara bikin KSP itu BPK Bupati Syarafuddin Jarot ?🙏🙏🥰🥰</t>
  </si>
  <si>
    <t>2026-07-20 20:56:16</t>
  </si>
  <si>
    <t>Caula Aludra ArKeyta</t>
  </si>
  <si>
    <t>Ishak Syahril betul sekali pak👍🏻</t>
  </si>
  <si>
    <t>2026-07-20 21:08:40</t>
  </si>
  <si>
    <t>Warung Mba Enn</t>
  </si>
  <si>
    <t>2026-07-20 21:21:39</t>
  </si>
  <si>
    <t>Ana Thoms</t>
  </si>
  <si>
    <t>mudahan anak sy dapat ...</t>
  </si>
  <si>
    <t>2026-07-20 21:49:44</t>
  </si>
  <si>
    <t>Joe Syahab</t>
  </si>
  <si>
    <t>Moga tepat sasaran program nya pak bupati</t>
  </si>
  <si>
    <t>2026-07-20 22:04:57</t>
  </si>
  <si>
    <t>Hasmiati Amoorea</t>
  </si>
  <si>
    <t>Amiinn</t>
  </si>
  <si>
    <t>2026-07-20 22:07:15</t>
  </si>
  <si>
    <t>Zainida Lestari</t>
  </si>
  <si>
    <t>Semoga yg dapat bukan orang yang itu itu saja... sudah dapat PIP dapat KSP lagi..yg lain gigit jari</t>
  </si>
  <si>
    <t>2026-07-20 22:11:26</t>
  </si>
  <si>
    <t>Bang Dien</t>
  </si>
  <si>
    <t>Mantap Pak Bupati</t>
  </si>
  <si>
    <t>2026-07-20 22:12:46</t>
  </si>
  <si>
    <t>Li Li</t>
  </si>
  <si>
    <t>Di KSB ini udh lama jalan ... Sumbawa baru mau mulai🤦</t>
  </si>
  <si>
    <t>2026-07-20 22:48:25</t>
  </si>
  <si>
    <t>Dewi Satriawati</t>
  </si>
  <si>
    <t>Apa syarat dapat KSP itu pak</t>
  </si>
  <si>
    <t>2026-07-20 23:33:59</t>
  </si>
  <si>
    <t>Fujiie Kurniawan</t>
  </si>
  <si>
    <t>Kalo bisa utamakan anak yg brprestasi pak, jngan kayak PIP bnyak yg salah sasaran</t>
  </si>
  <si>
    <t>2026-07-20 23:38:16</t>
  </si>
  <si>
    <t>Syarafuddin Jarot</t>
  </si>
  <si>
    <t>Irma Eriesh Amin. InsyaAllah 🙏</t>
  </si>
  <si>
    <t>2026-07-20 23:39:43</t>
  </si>
  <si>
    <t>Andin Attaya</t>
  </si>
  <si>
    <t>Li Li Tidak ada kata terlambat utk memulai hal2 baik</t>
  </si>
  <si>
    <t>2026-07-20 23:41:47</t>
  </si>
  <si>
    <t>Zulham Jaelani</t>
  </si>
  <si>
    <t>ini apa aja persaratannya dapat kartu samawa pintar pak? harus berpresetasikah, apa harus ada ikatan sanak sodara dengan pajabat?</t>
  </si>
  <si>
    <t>2026-07-21 00:39:15</t>
  </si>
  <si>
    <t>Sunami Jell</t>
  </si>
  <si>
    <t>Pak Bupati ingat saya</t>
  </si>
  <si>
    <t>2026-07-21 01:11:33</t>
  </si>
  <si>
    <t>Aysha Ayu Ayu Lestari</t>
  </si>
  <si>
    <t>Sebagai contoh di ksb tidak memandang setatus,,semua masyarakat ksb merata di kasih kepada anak sekolah. Kaya ataupun miskin yg penting ada anaknya sekolah .</t>
  </si>
  <si>
    <t>2026-07-21 01:57:31</t>
  </si>
  <si>
    <t>Gerimismelandahati Hati</t>
  </si>
  <si>
    <t>Syarafuddin Jarot sepatutnya respon2 seperti itu juga hrus kepada saudara2 kita yg bertanya dlm komentar ini. Setidaknya bangun kepercayaan melalui komunikasi dan itu hukum pasti. Samata mo</t>
  </si>
  <si>
    <t>2026-07-21 04:54:03</t>
  </si>
  <si>
    <t>Julia Rizkina Putri</t>
  </si>
  <si>
    <t>Ishak Syahril benar sekaLiii</t>
  </si>
  <si>
    <t>2026-07-21 05:24:55</t>
  </si>
  <si>
    <t>Fauzan Alisha</t>
  </si>
  <si>
    <t>Amin</t>
  </si>
  <si>
    <t>2026-07-21 06:10:44</t>
  </si>
  <si>
    <t>Din Sri</t>
  </si>
  <si>
    <t>harus itu,karna kalau tidk begitu pajak2 yg kmi bayar mau di bawa kemana,,,?</t>
  </si>
  <si>
    <t>2026-07-21 06:26:40</t>
  </si>
  <si>
    <t>Hermansyah Tecksas</t>
  </si>
  <si>
    <t>Semoga semua program bapak bupati berjalan lancar,, aamiin yra🤲🤲👍</t>
  </si>
  <si>
    <t>2026-07-21 06:28:36</t>
  </si>
  <si>
    <t>Naella Naena</t>
  </si>
  <si>
    <t>Maaf mohon maaf nya pak gimana aga bisa dpat kartu Sumbawa pintar 🙏🏻</t>
  </si>
  <si>
    <t>2026-07-21 06:34:14</t>
  </si>
  <si>
    <t>Mar Diana Sahabuddin</t>
  </si>
  <si>
    <t>Meluk Lamin nongka pintar tp GK mampu? Apakah bisa si kasih kartu nya</t>
  </si>
  <si>
    <t>2026-07-21 06:38:30</t>
  </si>
  <si>
    <t>UD Alfurqon</t>
  </si>
  <si>
    <t>Mantap,,Sukses selalu Pak Bupati</t>
  </si>
  <si>
    <t>2026-07-21 06:44:35</t>
  </si>
  <si>
    <t>Khaerud</t>
  </si>
  <si>
    <t>Aysha Ayu Ayu Lestari judul nya kartu Sumbawa pintar.sudah semesti penerima nya rata dan rata</t>
  </si>
  <si>
    <t>2026-07-21 07:11:03</t>
  </si>
  <si>
    <t>Diah Immawati</t>
  </si>
  <si>
    <t>Aamiin Ya Rabbal Alamin 🤲🤲</t>
  </si>
  <si>
    <t>2026-07-21 07:19:13</t>
  </si>
  <si>
    <t>Ikhsan Chan</t>
  </si>
  <si>
    <t>Denan tau de KA biasa kena bantuan nan si kena kbali,,,, nosi akan ya rata</t>
  </si>
  <si>
    <t>2026-07-21 07:35:20</t>
  </si>
  <si>
    <t>Aysha Ayu Ayu Lestari  bener Skali bunda ....
Alhamdulillah kami di sni smua tanpa kecuali dpt bntuan kartu KSB MAJU
bisa bntu2 buat biaya keperluan anak2 skolah....🥰🙏</t>
  </si>
  <si>
    <t>2026-07-21 07:57:34</t>
  </si>
  <si>
    <t>Utami Marwa</t>
  </si>
  <si>
    <t>Semoga merata jangan ada yang nangis tertawa kerana , pelajaran semua sama .SD , SMP, SMA dan perguruan tinggi</t>
  </si>
  <si>
    <t>2026-07-21 08:00:13</t>
  </si>
  <si>
    <t>Pesawat Tempur</t>
  </si>
  <si>
    <t>Calon gubernur NTB 2029</t>
  </si>
  <si>
    <t>2026-07-21 08:03:32</t>
  </si>
  <si>
    <t>Rizka Sapitri</t>
  </si>
  <si>
    <t>tolong perbaiki jalan pak jarot.</t>
  </si>
  <si>
    <t>2026-07-21 08:20:58</t>
  </si>
  <si>
    <t>Ratna Syafruddin</t>
  </si>
  <si>
    <t>Aamiin.  Ada gama Rizki anak q, kena kartu  KSP taa.</t>
  </si>
  <si>
    <t>2026-07-21 08:30:11</t>
  </si>
  <si>
    <t>Damiska Febryanti</t>
  </si>
  <si>
    <t>mau dapat pak... ☺️💪🏻</t>
  </si>
  <si>
    <t>2026-07-21 08:31:03</t>
  </si>
  <si>
    <t>Alissa Alissa</t>
  </si>
  <si>
    <t>Aysha Ayu Ayu Lestari bner</t>
  </si>
  <si>
    <t>2026-07-21 09:07:06</t>
  </si>
  <si>
    <t>Titin Titin</t>
  </si>
  <si>
    <t>Fujiie Kurniawan betul itu,saya sangat setuju</t>
  </si>
  <si>
    <t>2026-07-21 09:09:34</t>
  </si>
  <si>
    <t>Aysha Ayu Ayu Lestari benar sekali itu Bu,</t>
  </si>
  <si>
    <t>2026-07-21 09:13:08</t>
  </si>
  <si>
    <t>Lily Yunus</t>
  </si>
  <si>
    <t>2026-07-21 09:21:32</t>
  </si>
  <si>
    <t>Dwi Handayani</t>
  </si>
  <si>
    <t>Apa syarat &amp; ketentuannya pak</t>
  </si>
  <si>
    <t>2026-07-21 09:26:15</t>
  </si>
  <si>
    <t>Nhiar Uminya Dzakira</t>
  </si>
  <si>
    <t>Melok cara tu bau dapat kartu nan pak bupati ?</t>
  </si>
  <si>
    <t>2026-07-21 09:26:33</t>
  </si>
  <si>
    <t>Juliana</t>
  </si>
  <si>
    <t>Maaf Bapak Bupati,bagaimna cara mendapatkan kartu tersebut?terimakasih.</t>
  </si>
  <si>
    <t>2026-07-21 09:29:50</t>
  </si>
  <si>
    <t>Bahiya Ambarak</t>
  </si>
  <si>
    <t>Alhamdulillah insyaALLAH semakin sukses Sumbawa di bawah pimpinan Pak Bup dan pak Wabup.
Tp maaf pak, kaleng poto bulu sampai poto kuku sia amen sy ta sy lancang.
Masala Ai PDAM pak Bup. Genap 30 hari sekarang sy tidak dapat air.
Dan kmarin untuk ke 4 kali sy komplen ke Loket Cendrawasi keadaan tetap sama.
Kmarin itu sy tetap bayar seperti biasa tp semalan air tetap tidak ada setetespun.
Mala ada rencana kenaikan air 100% dr tarip yg sekarang.
Sekali lg, kami tidak keberatan tarib naik asal perusahaan benar-benar bisa jamin pendisribusiannya air bakal lancar gk pakai jam malam kaya jam operasi maling yakni jam 2/3 malan air baru ngalir dan jam 4 subuh sudah tidak ada lg.
Tolonglah hak pelanggan di perhatikan, seperti kami yg trus memenuhi kewajiban kami tepat waktu kepada Perusahaan.</t>
  </si>
  <si>
    <t>2026-07-21 09:32:13</t>
  </si>
  <si>
    <t>Zana Safina</t>
  </si>
  <si>
    <t>Aamiin🤲🤲🤲</t>
  </si>
  <si>
    <t>2026-07-21 09:34:37</t>
  </si>
  <si>
    <t>Semogah adik sya dapt pak</t>
  </si>
  <si>
    <t>2026-07-21 09:59:13</t>
  </si>
  <si>
    <t>Powler Mesaputra</t>
  </si>
  <si>
    <t>Rizka Sapitri terutama jalan yg menuju ke...? 😅😅</t>
  </si>
  <si>
    <t>2026-07-21 10:03:09</t>
  </si>
  <si>
    <t>Anthi Jaya</t>
  </si>
  <si>
    <t>Assalamualaikum.
Izin tanya bapak bupati gimana cara dapat kartu KSP</t>
  </si>
  <si>
    <t>2026-07-21 10:14:20</t>
  </si>
  <si>
    <t>Albyy Alzz</t>
  </si>
  <si>
    <t>Suru lah mendata pak Kadus  itu btuh kerjaan RT dan kasusnya biar  dana dan bantuan kena tepat pada sasaran</t>
  </si>
  <si>
    <t>2026-07-21 10:15:15</t>
  </si>
  <si>
    <t>Bahiya Ambarak KLO PDAM Sumbawa sy TDK heran sy yg tggal di griya idola dr Thun 1997 smpai skrg PDAM TDK lancar.air keluar hnya pada malam hari</t>
  </si>
  <si>
    <t>2026-07-21 10:16:48</t>
  </si>
  <si>
    <t>Jeko Pukat</t>
  </si>
  <si>
    <t>Luar biasa pak bupati</t>
  </si>
  <si>
    <t>2026-07-21 10:18:23</t>
  </si>
  <si>
    <t>Bila perlu buat anak cerdas patut perintah berikan kartu</t>
  </si>
  <si>
    <t>2026-07-21 10:18:27</t>
  </si>
  <si>
    <t>Ones Gaming</t>
  </si>
  <si>
    <t>Fujiie Kurniawan betul si. Kebanyakan yg kena PIP anak org yg punya jabatan dan keluarga pemerintah</t>
  </si>
  <si>
    <t>2026-07-21 10:22:06</t>
  </si>
  <si>
    <t>Emma Darmansyah</t>
  </si>
  <si>
    <t>No bau kna anak SMP ke pak??</t>
  </si>
  <si>
    <t>2026-07-21 10:22:50</t>
  </si>
  <si>
    <t>Fujiie Kurniawan laporkan saja ke Dikbud, kalo gak ada respon ke dinas sosial saja.</t>
  </si>
  <si>
    <t>2026-07-21 10:41:09</t>
  </si>
  <si>
    <t>Iin Rajab</t>
  </si>
  <si>
    <t>semoga dapatnya merata dan tidak pilih kasih</t>
  </si>
  <si>
    <t>2026-07-21 10:41:29</t>
  </si>
  <si>
    <t>Fujiie Kurniawan jangan heran mas. Kartu pintar yg dimaksud bupati ini juga bertujuan untuk keluarga, kerabat, kroni, org terdekat dan timsesnya saja, org lain mah ORA urus kata org jawa</t>
  </si>
  <si>
    <t>2026-07-21 10:42:54</t>
  </si>
  <si>
    <t>Lina Maman</t>
  </si>
  <si>
    <t>Semoga anak" kita yg kurang mampu bisa kena kartu itu.karna biaya anak sekolah SMK mahal</t>
  </si>
  <si>
    <t>2026-07-21 10:45:59</t>
  </si>
  <si>
    <t>Nurul Wahidah</t>
  </si>
  <si>
    <t>Semoga ke4nya anak sy bisa dapat dn rizkinya mereka pak di titipkan Allah melalui bapak ....Aamiin🤲🙏🙏🙏sehat2 selalu bapak bupati..💪💪❤️</t>
  </si>
  <si>
    <t>2026-07-21 10:55:43</t>
  </si>
  <si>
    <t>Handayani Amin</t>
  </si>
  <si>
    <t>Kalau boleh tau bagaimana cara mendapatkan kartu ini..🙏🙏🙏</t>
  </si>
  <si>
    <t>2026-07-21 11:04:44</t>
  </si>
  <si>
    <t>Albyy Alzz
Gk tau yaa klau di Gria Idola tp sy tinggal di kampung yg bersebrangan juga sama Gria idola, di belakang masjid AN'NUR
Dulu-dulu air PDAM  sangat lancar sampai rumah panggungpun gada yg pakai mesin sedot.
Tp makin kesini , mungkin karna pelanggannya makin banyak dan pihak perusahaan melegalkan mesin sedot sampai tak terbendung,.
Qt mulai susah, air sering  macet tp tak separah 2/3 tahun ini.
Air macet hingga belasan hari.
Dan bulan ini bisa di bilang gada air sebulan full, karna itu air ada cuman semalam dan sangat kecil.
Hanya sebesar lidi.
Dan sy hanya dapat 2 ember cat besar.
Kmarin pas jatoh tempo tgl 20 sy komplen lg, mempertanyakan apa dengan sy dapat air cuman segitu dalam 1 bulan sy harus bayar,????
Keputusannya sy harus bayar, terpaksa sy bayar ketimbang nanti2 sy bayar harus di embelin dendah.
Semalam sy bangun lg jam 2 malam, berharab ada air nongol tp apes.
Tetap zong</t>
  </si>
  <si>
    <t>2026-07-21 11:04:46</t>
  </si>
  <si>
    <t>Jalaludin Intel</t>
  </si>
  <si>
    <t>Luar biasa Pak Bupati Sumbawa</t>
  </si>
  <si>
    <t>2026-07-21 11:19:17</t>
  </si>
  <si>
    <t>Della Farhan</t>
  </si>
  <si>
    <t>Tolong disama ratakan tanpa memandang bulu</t>
  </si>
  <si>
    <t>2026-07-21 11:37:43</t>
  </si>
  <si>
    <t>Sri Ahyuni</t>
  </si>
  <si>
    <t>Aamiin ya rabbal 'alamiin 🤲🤲🤲</t>
  </si>
  <si>
    <t>2026-07-21 12:04:22</t>
  </si>
  <si>
    <t>Herny Azizah</t>
  </si>
  <si>
    <t>Semoga dapatnya merata pak Syarafuddin Jarot  Aamiin</t>
  </si>
  <si>
    <t>2026-07-21 12:09:57</t>
  </si>
  <si>
    <t>Mardiyah Brijida</t>
  </si>
  <si>
    <t>Betul sekali harus rata jangan ada yang dapat ada yang tidak.</t>
  </si>
  <si>
    <t>2026-07-21 12:09:58</t>
  </si>
  <si>
    <t>Hatimi Timi</t>
  </si>
  <si>
    <t>Aamiin.pak Bupati hebat ,,insya Allah kami pilih klam kembali sampai klam bongkok.</t>
  </si>
  <si>
    <t>2026-07-21 12:22:13</t>
  </si>
  <si>
    <t>Dina Mamesa</t>
  </si>
  <si>
    <t>Li Li apa saja persyaratan biar dpt KSP itu Bu🙏🏻</t>
  </si>
  <si>
    <t>2026-07-21 12:42:01</t>
  </si>
  <si>
    <t>Hasmira Galorianti</t>
  </si>
  <si>
    <t>Mantap</t>
  </si>
  <si>
    <t>2026-07-21 13:09:58</t>
  </si>
  <si>
    <t>Ali Wardana</t>
  </si>
  <si>
    <t>Masih banyak yg zonk isi nya</t>
  </si>
  <si>
    <t>2026-07-21 13:16:47</t>
  </si>
  <si>
    <t>Semoga saja merata biar adil</t>
  </si>
  <si>
    <t>2026-07-21 13:21:22</t>
  </si>
  <si>
    <t>Azkina Nina</t>
  </si>
  <si>
    <t>Mluk proses bau dpt krtu nan</t>
  </si>
  <si>
    <t>2026-07-21 13:24:45</t>
  </si>
  <si>
    <t>Rina Irawan Rina</t>
  </si>
  <si>
    <t>Amin moga sukses selalu</t>
  </si>
  <si>
    <t>2026-07-21 13:40:21</t>
  </si>
  <si>
    <t>Sartika Ferbriana</t>
  </si>
  <si>
    <t>Aamiin yarobbalalamiin 🤲🏻🤲🏻🤲🏻</t>
  </si>
  <si>
    <t>2026-07-21 13:50:08</t>
  </si>
  <si>
    <t>Agus Salim</t>
  </si>
  <si>
    <t>Bia boat Len kawan,, lamen no cukup 😀😀😀😀</t>
  </si>
  <si>
    <t>2026-07-21 14:03:23</t>
  </si>
  <si>
    <t>Dina Mamesa sya jg GK tau Bu sya jg belom tentu dapat😁🤦</t>
  </si>
  <si>
    <t>2026-07-21 14:11:53</t>
  </si>
  <si>
    <t>Eva Martha Pratama</t>
  </si>
  <si>
    <t>Masyaallah luar biasa</t>
  </si>
  <si>
    <t>2026-07-21 14:32:01</t>
  </si>
  <si>
    <t>Arroyan Dylan Alfarzqi</t>
  </si>
  <si>
    <t>Fujiie Kurniawan betulll</t>
  </si>
  <si>
    <t>2026-07-21 14:41:34</t>
  </si>
  <si>
    <t>Maaf pak, kartu Sumbawa pintar di utamakan buat siapa saja pak
 Apak di utamakan tuk siswa berprestasi. Seperti nmanya kartu Sumbawa Pintar</t>
  </si>
  <si>
    <t>2026-07-21 14:44:06</t>
  </si>
  <si>
    <t>Utami Marwa aminn</t>
  </si>
  <si>
    <t>2026-07-21 14:44:48</t>
  </si>
  <si>
    <t>Khan Ali</t>
  </si>
  <si>
    <t>Anak nya yg dapat lalu kemana Nick Husni ?
Uang pajak loh ini 😑</t>
  </si>
  <si>
    <t>https://web.facebook.com/share/p/1dxhBJCKfb/</t>
  </si>
  <si>
    <t>2026-07-21 14:50:25</t>
  </si>
  <si>
    <t>Iin Rajab Aamiin</t>
  </si>
  <si>
    <t>2026-07-21 15:05:01</t>
  </si>
  <si>
    <t>Hamisah Hamisah</t>
  </si>
  <si>
    <t>Di KSB ada kartu KSB maju di sumbawa ada kartu sumbawa pintar</t>
  </si>
  <si>
    <t>2026-07-21 15:25:15</t>
  </si>
  <si>
    <t>Ikhsan Ikhsan</t>
  </si>
  <si>
    <t>Sarea bau dapat ke,baik anak PNS atau petani,kalau bisa di ratakan semua pak 🙏</t>
  </si>
  <si>
    <t>2026-07-21 15:54:26</t>
  </si>
  <si>
    <t>Jamiati Amiati</t>
  </si>
  <si>
    <t>tlong kasih tahu cara untuk anak2 mendptkan kartu sumbawa pintar</t>
  </si>
  <si>
    <t>2026-07-21 16:08:34</t>
  </si>
  <si>
    <t>Permata Anggrainy Zulkarnain</t>
  </si>
  <si>
    <t>Masih laku kartu kartuan sekarang?</t>
  </si>
  <si>
    <t>2026-07-21 16:12:16</t>
  </si>
  <si>
    <t>Amelia Putri</t>
  </si>
  <si>
    <t>Mudah2 ank murid dpt semua x kartu anak pintar ank orng kaya bisa dpt kartu ank pintar knp kita yg masyarakat yg kurang mampu ini GK dpt</t>
  </si>
  <si>
    <t>2026-07-21 16:22:14</t>
  </si>
  <si>
    <t>Salsya Bila</t>
  </si>
  <si>
    <t>Smoga tepat sasaran</t>
  </si>
  <si>
    <t>2026-07-21 16:40:21</t>
  </si>
  <si>
    <t>Rahmawati Ismail</t>
  </si>
  <si>
    <t>Melok tu dapat kartu nan?</t>
  </si>
  <si>
    <t>2026-07-21 16:45:06</t>
  </si>
  <si>
    <t>Tulus Hati</t>
  </si>
  <si>
    <t>Mau dong gimana cara ngurusnya</t>
  </si>
  <si>
    <t>2026-07-21 16:52:42</t>
  </si>
  <si>
    <t>Ya Bu,,di ksb ngk pandang bulu kaya maupun miskin yg bekerja ataupun yg blm bekerja ,yg penting ada anaknya sekolah dapat kartu ksb maju. Mudahan di kabupaten Sumbawa kayak di ksb.</t>
  </si>
  <si>
    <t>2026-07-21 17:22:29</t>
  </si>
  <si>
    <t>Abdul</t>
  </si>
  <si>
    <t>Bagaimana cara mendapatkan kartu tersebut.</t>
  </si>
  <si>
    <t>2026-07-21 17:45:29</t>
  </si>
  <si>
    <t>Dwi Rahayu MJ</t>
  </si>
  <si>
    <t>Kartu Sumbawa Pintar merupakan kartu layanan pendidikan yang digunakan sebagai instrumen pendataan dan pemetaan mahasiswa penerima beasiswa Pemerintah Kabupaten Sumbawa. Melalui kartu ini, pemerintah daerah dapat memastikan bahwa pemberian beasiswa tepat sasaran, transparan, dan terintegrasi dalam satu basis data. Besaran beasiswa yang diterima mahasiswa disesuaikan dengan kebutuhan biaya pendidikan dan ketentuan yang berlaku pada masing-masing perguruan tinggi. Adapun persyaratan, mekanisme seleksi, serta tata cara pemberian beasiswa mengacu pada Peraturan Bupati Sumbawa tentang Pemberian Beasiswa Pendidikan yang berlaku.
Di samping program beasiswa bagi mahasiswa, Pemerintah Kabupaten Sumbawa tetap memberikan penghargaan kepada peserta didik berprestasi pada jenjang SD, SMP, dan SMA/sederajat. Penghargaan tersebut diberikan sebagai bentuk apresiasi dan motivasi kepada siswa yang mengharumkan nama daerah melalui berbagai ajang, seperti olahraga, olimpiade sains, seni, maupun lomba esai tingkat nasional. Dengan demikian, Kartu Sumbawa Pintar tidak hanya menjadi instrumen pemerataan akses pendidikan tinggi, tetapi juga bagian dari upaya pemerintah daerah dalam membangun budaya prestasi dan meningkatkan kualitas sumber daya manusia Kabupaten Sumbawa....semoga penjelasan dapat diterima oleh adik adik sekalian, kalo kurang jelas, ayo main ke kantor</t>
  </si>
  <si>
    <t>2026-07-21 17:48:21</t>
  </si>
  <si>
    <t>Eni Yeni</t>
  </si>
  <si>
    <t>Ada kartu Sumbawa sehat gak? 
Bantu masyarakat berobat. 
Untuk mendapatkan KSP itu daftar lewat mana Min</t>
  </si>
  <si>
    <t>2026-07-21 17:59:47</t>
  </si>
  <si>
    <t>Liputan Sumbawa</t>
  </si>
  <si>
    <t>Dwi Rahayu MJ mantap</t>
  </si>
  <si>
    <t>2026-07-21 18:01:10</t>
  </si>
  <si>
    <t>Ermiate Burhanuddin</t>
  </si>
  <si>
    <t>Aysha Ayu Ayu Lestari semoga jadi contoh untuk desa darat kita.</t>
  </si>
  <si>
    <t>2026-07-21 18:08:06</t>
  </si>
  <si>
    <t>Cahaya Angraini</t>
  </si>
  <si>
    <t>mantap bapak bupati</t>
  </si>
  <si>
    <t>2026-07-21 18:18:13</t>
  </si>
  <si>
    <t>Wiwin Wiwin Irianto</t>
  </si>
  <si>
    <t>Semoga cepat merata pak bupati</t>
  </si>
  <si>
    <t>2026-07-21 18:25:41</t>
  </si>
  <si>
    <t>Sarah Ahmad</t>
  </si>
  <si>
    <t>Saya ingin nanya pk, apa sarat agar anak"bisa mndaptkn kartu pintr trsebut....</t>
  </si>
  <si>
    <t>2026-07-21 18:26:56</t>
  </si>
  <si>
    <t>Lalu Lintang Lintang</t>
  </si>
  <si>
    <t>Ikhsan Ikhsan hihihihi,,, rata sarea</t>
  </si>
  <si>
    <t>2026-07-21 18:36:55</t>
  </si>
  <si>
    <t>Khumairah Rayyan Tata</t>
  </si>
  <si>
    <t>Kategori yang dapat kartu itu siapa saja slain plajar???</t>
  </si>
  <si>
    <t>2026-07-21 18:37:45</t>
  </si>
  <si>
    <t>Lalu Lintang Lintang Popo uok 😀😀</t>
  </si>
  <si>
    <t>2026-07-21 18:37:47</t>
  </si>
  <si>
    <t>Han's Subhan</t>
  </si>
  <si>
    <t>Smoga terbit kartu sumbawa nganggur</t>
  </si>
  <si>
    <t>2026-07-21 18:42:42</t>
  </si>
  <si>
    <t>Bawa ktp kk ...lapor ko desa ...kirim ko bupati . Ok</t>
  </si>
  <si>
    <t>2026-07-21 18:46:19</t>
  </si>
  <si>
    <t>Manjasus</t>
  </si>
  <si>
    <t>Alhamdulillah.
Semoga program dan upaya pemda berjalan semestinya.
Bugar tegar pemda kab.sumbawa.
Membangun negeri masa depan berkualitas.
Aamiiin YRA.</t>
  </si>
  <si>
    <t>2026-07-21 18:51:23</t>
  </si>
  <si>
    <t>Sahra Mastar</t>
  </si>
  <si>
    <t>Lucu akun ini... Dari semua yang berkomentar tak ada 1 pun pertanyaan yang di balas. 
Jika posting kabar... Sebaiknya harus mau menjawab pertanyaan orang.</t>
  </si>
  <si>
    <t>2026-07-21 19:06:49</t>
  </si>
  <si>
    <t>Khaeria Lutfi Sondo</t>
  </si>
  <si>
    <t>Hanya untuk mahasiswa berprestasi</t>
  </si>
  <si>
    <t>2026-07-21 19:21:40</t>
  </si>
  <si>
    <t>Eli Ermawati</t>
  </si>
  <si>
    <t>Semoga tepat sasaran,jangan sampai salah sasaran ,,
Kasihan mereka yang benar-benar tidak mampu 
Nanti yang kena yang banyak sawah,yang banyak hewan ternak 
Apa peno moh tu gita anu benar-benar membutuhkan nan anu nongka kena na</t>
  </si>
  <si>
    <t>2026-07-21 19:31:15</t>
  </si>
  <si>
    <t>Adhi Manurung</t>
  </si>
  <si>
    <t>Di KSB semua dapat</t>
  </si>
  <si>
    <t>2026-07-21 19:31:27</t>
  </si>
  <si>
    <t>Yang punya akun sudah lari😆</t>
  </si>
  <si>
    <t>2026-07-21 19:33:30</t>
  </si>
  <si>
    <t>Muhammad Gibran</t>
  </si>
  <si>
    <t>Ass, maaf ketua..menurut notasinya , kartu Sumbawa pintar..itu, berlaku ngga buat masarakat miskin...</t>
  </si>
  <si>
    <t>2026-07-21 19:35:41</t>
  </si>
  <si>
    <t>Misnah Mis</t>
  </si>
  <si>
    <t>Soalnya anak saya endek pernah dpt bantuan</t>
  </si>
  <si>
    <t>2026-07-21 19:56:44</t>
  </si>
  <si>
    <t>Nurjannah Sapon</t>
  </si>
  <si>
    <t>Raja Tega ajukan supaya merata de kuliah Nn kena jake supaya semua anak Sumbawa bisa kuliah.mantaaaaap.</t>
  </si>
  <si>
    <t>2026-07-21 19:58:14</t>
  </si>
  <si>
    <t>Iyek</t>
  </si>
  <si>
    <t>KSP penerima manfaatnya nanti tebang pilih...!!nakena nka tepat sasaran....
Kebijakan pak Bupati kalau Bisa tolak MBG selaku pimpinan daerah anggarannya dialihkan ke KSP lebih bermanfaat menyeluruh masyarakat sumbawa...bagi generasi penerus samawa, masalah mangan jembrai kele ke jangan bage tode samawa ta sehat srea..biaya sekolah nan de pina berat ortu dalam smawa...manfaatkan uang pajak kaling kami ko anak dadi untuk masadepan</t>
  </si>
  <si>
    <t>2026-07-21 20:08:15</t>
  </si>
  <si>
    <t>Bugoc Terawan</t>
  </si>
  <si>
    <t>Smua program adlah proyek, biasanya lahan basah buat koruptor 😀😀 yuk kita nonton gmna ending dri drama rezim ini 😀😀</t>
  </si>
  <si>
    <t>2026-07-21 20:11:25</t>
  </si>
  <si>
    <t>Jensen Jhes</t>
  </si>
  <si>
    <t>Semoga penyalurannya benar-benar tepat sasaran dan berdampak nyata buat pendidikan anak-anak di Sumbawa, memang investasi ini penting. Tinggal dipastikan eksekusi di lapangannya transparan dan gak ribet birokrasinya biar anak-anak yang butuh beneran bisa ngerasain manfaatnya."</t>
  </si>
  <si>
    <t>2026-07-21 20:19:53</t>
  </si>
  <si>
    <t>M Jufri Juf</t>
  </si>
  <si>
    <t>Bagaimana cara untuk  kartu sumbawa pintar,apa kriterianya ?</t>
  </si>
  <si>
    <t>2026-07-21 20:45:42</t>
  </si>
  <si>
    <t>Nathan ARkha</t>
  </si>
  <si>
    <t>Kebanyakan kartu</t>
  </si>
  <si>
    <t>2026-07-21 20:50:06</t>
  </si>
  <si>
    <t>AisyahOllshop</t>
  </si>
  <si>
    <t>Pertanyaan nya siapa yg pantas dpt KSP?? Yg berprestasi kah? Yg kurang mampu kah? Ato acak? Apakah dari pihak sekolah bisa mengajukan utk siswa nya?</t>
  </si>
  <si>
    <t>2026-07-21 20:51:49</t>
  </si>
  <si>
    <t>Nurah Abdullah Nurah Abdullah</t>
  </si>
  <si>
    <t>Bahiya Ambarak saya aja sudah jln 1 tahun daftar air .PDAM .song jawaban tapi saya heran ko orang yng bagun .Rumah BTN ko bisa langsung  ada .kemarin suami saya pergi ke kantor PDAM tetap song jawaban nya</t>
  </si>
  <si>
    <t>2026-07-21 20:59:40</t>
  </si>
  <si>
    <t>Semoga rata baesi kena bagi</t>
  </si>
  <si>
    <t>2026-07-21 21:00:57</t>
  </si>
  <si>
    <t>Dedi Supriadi</t>
  </si>
  <si>
    <t>melalui sekola atau desa program ini kalau melalui desa sama aja kayak program yang dari pusat sama aja orang srtarnya doang</t>
  </si>
  <si>
    <t>2026-07-21 21:06:58</t>
  </si>
  <si>
    <t>Enmax</t>
  </si>
  <si>
    <t>Air bersih juga urus pak bupati tolong evaluasi direkturnya dak becus urus air,  mandi dak dapat g.mana mau jadi anak pintar, bagus programnya di tambah tapi jngan lalaikan apa yg menjadi kebutuhan rakyat, kebutuhan air bersih juga tanggung jawab pak bupati bila rakyat di rugikan.</t>
  </si>
  <si>
    <t>2026-07-21 21:13:52</t>
  </si>
  <si>
    <t>Gaddis Lukaku</t>
  </si>
  <si>
    <t>gmn cr mendaptkan ya pk</t>
  </si>
  <si>
    <t>2026-07-21 21:17:14</t>
  </si>
  <si>
    <t>Gass Bae</t>
  </si>
  <si>
    <t>Nanti ada kartu GAS PINTAR</t>
  </si>
  <si>
    <t>2026-07-21 21:34:03</t>
  </si>
  <si>
    <t>Dara Sudarmi</t>
  </si>
  <si>
    <t>Luk masyaallah 🤲</t>
  </si>
  <si>
    <t>2026-07-21 21:40:25</t>
  </si>
  <si>
    <t>Lalu Sibawaih</t>
  </si>
  <si>
    <t>Bagaimana cara daftar pak dan di kantor mana</t>
  </si>
  <si>
    <t>2026-07-21 21:41:16</t>
  </si>
  <si>
    <t>Munir Tms</t>
  </si>
  <si>
    <t>Ijin ,Melok persyatan supaya bisa dpt kartu pintar ta</t>
  </si>
  <si>
    <t>2026-07-21 21:45:01</t>
  </si>
  <si>
    <t>Erna Wati</t>
  </si>
  <si>
    <t>Nhiar Uminya Dzakira tanya ne beb nkena bau si to Rua tu na 🥺</t>
  </si>
  <si>
    <t>2026-07-21 22:25:58</t>
  </si>
  <si>
    <t>Alif Khozi</t>
  </si>
  <si>
    <t>Smga ank sy kena Amiin YRA</t>
  </si>
  <si>
    <t>2026-07-21 22:32:01</t>
  </si>
  <si>
    <t>Sri Anto</t>
  </si>
  <si>
    <t>Meluk kārtu nan serea Kena atou Ingo juara ke.min Ingo juara juara pida batas 1 sampai 5 atou meluk</t>
  </si>
  <si>
    <t>2026-07-21 22:34:52</t>
  </si>
  <si>
    <t>Top mo kls 3 smk ke kls 2 SMP enda satupun bantuan tu dpt ..kuda no merata kena</t>
  </si>
  <si>
    <t>2026-07-21 22:36:46</t>
  </si>
  <si>
    <t>Aditan Tansri</t>
  </si>
  <si>
    <t>Muhammad Gibran tentu berlaku setiap anak yang berprestasi pak.</t>
  </si>
  <si>
    <t>2026-07-21 22:59:18</t>
  </si>
  <si>
    <t>Vifit Putri Wahyuddin</t>
  </si>
  <si>
    <t>Pertanyaan nya cara dapatnya bagaimana</t>
  </si>
  <si>
    <t>2026-07-21 23:03:46</t>
  </si>
  <si>
    <t>Hamdani Irfan</t>
  </si>
  <si>
    <t>Alhamdulillah Masya Allah smga amanah dan sesuai yg mendapat kannya</t>
  </si>
  <si>
    <t>2026-07-21 23:09:38</t>
  </si>
  <si>
    <t>Tapi butuh apresiasi buat ank ank yg berprestasi  wlpun org tuanya mampu</t>
  </si>
  <si>
    <t>2026-07-21 23:11:47</t>
  </si>
  <si>
    <t>Abdullah Attamimi Tammim</t>
  </si>
  <si>
    <t>Gas subsidi kartu bpjs bensin pertalet. dan banyak program pemerintah lainnya. tp tidak berjalan semestinya. kami hanya mohon aparatur daerah untuk lebih banyak turun kemasyarakat ...amin</t>
  </si>
  <si>
    <t>2026-07-21 23:37:40</t>
  </si>
  <si>
    <t>2026-07-22</t>
  </si>
  <si>
    <t>Imran Efendi</t>
  </si>
  <si>
    <t>Luar biasa pak bupati 👍👍👍</t>
  </si>
  <si>
    <t>2026-07-22 00:15:57</t>
  </si>
  <si>
    <t>Vin</t>
  </si>
  <si>
    <t>AisyahOllshop inti nya yg punya orang dalam🫠</t>
  </si>
  <si>
    <t>2026-07-22 00:21:28</t>
  </si>
  <si>
    <t>ID Salju</t>
  </si>
  <si>
    <t>Maaf ni warnanya kotras banget.. warna merah putih biru astaga</t>
  </si>
  <si>
    <t>2026-07-22 01:22:04</t>
  </si>
  <si>
    <t>Kang MuFe El-bageloka</t>
  </si>
  <si>
    <t>Terobosan</t>
  </si>
  <si>
    <t>2026-07-22 02:03:51</t>
  </si>
  <si>
    <t>Soharti Ahmed</t>
  </si>
  <si>
    <t>Amin PK mudahan qnakku dpt</t>
  </si>
  <si>
    <t>2026-07-22 04:47:47</t>
  </si>
  <si>
    <t>Nurah Abdullah Nurah Abdullah
Iya itukan kroni/ groupnya Dirut.
Itu lah pelanggan anak emas PDAM yg akhirnya qt pelanggan lama tersisi.
Coba kurang apa qt pelanggan lama.
Air lancar atau macet tetap bayar.
Sekarang harga mau naik 100% ayo tp karna mentingin mereka qt tetap susa dapat airnya.
Membayar walau terpaksa,
Karna sy pun suda cape lapor ikwal kemacetan, tp gada perubahan jd biarla bayaran sy jd urusan mereka sama ALLAH kan toh gaji mereka smua dr uang pelanggan termasuk uang sy, iya gk,????</t>
  </si>
  <si>
    <t>2026-07-22 04:54:36</t>
  </si>
  <si>
    <t>Rhika Savina Alshop</t>
  </si>
  <si>
    <t>Paling yg dpt nanti anak" yg kna PKH ap program itu c yg diprioritaskan slm. Ini</t>
  </si>
  <si>
    <t>2026-07-22 05:53:24</t>
  </si>
  <si>
    <t>Hasma Zainal</t>
  </si>
  <si>
    <t>anak yg berprestasi dan anak yg tidak mampumudahan dapat</t>
  </si>
  <si>
    <t>2026-07-22 06:01:25</t>
  </si>
  <si>
    <t>Siti Acce Itik</t>
  </si>
  <si>
    <t>Gass Bae 𝑘𝑎𝑙𝑎𝑢 𝑖𝑡𝑢 𝑢𝑛𝑡𝑢𝑘 𝑖𝑏𝑢*🤣🤣</t>
  </si>
  <si>
    <t>2026-07-22 06:02:46</t>
  </si>
  <si>
    <t>Rara Kendi</t>
  </si>
  <si>
    <t>Assalamualaikim bpk bupati yg sy hormati gimana cara supaya dpt kartu ksp ini ad anak sy yg baru msk sklh SMA dan kakakx kls 3 smA juga</t>
  </si>
  <si>
    <t>2026-07-22 06:05:20</t>
  </si>
  <si>
    <t>Semoga di beri secara merata... Dan.. izin beri saran bapak, menurut saya.. ini kartunya ga enak di pandang karna pewaranaanya.. apalagi warna merah terlalu mencolok gak enak di pandang..</t>
  </si>
  <si>
    <t>2026-07-22 07:00:27</t>
  </si>
  <si>
    <t>Vin parah</t>
  </si>
  <si>
    <t>2026-07-22 07:13:32</t>
  </si>
  <si>
    <t>Mastari Aulia</t>
  </si>
  <si>
    <t>Izin pak,, Bagai mana cara mengurus nya pak di kantor mana dan apa persaratan nya pak</t>
  </si>
  <si>
    <t>2026-07-22 07:42:56</t>
  </si>
  <si>
    <t>Fatmawati Peti</t>
  </si>
  <si>
    <t>Sina aga byang anak kami ta Kadu tu reya</t>
  </si>
  <si>
    <t>2026-07-22 07:50:36</t>
  </si>
  <si>
    <t>Raehaan Apriyansah</t>
  </si>
  <si>
    <t>Orang Pintar belum tentu Cerdas tapi orang Cerdas pasti Pintar</t>
  </si>
  <si>
    <t>2026-07-22 07:57:12</t>
  </si>
  <si>
    <t>Ezra Gelael</t>
  </si>
  <si>
    <t>Vifit Putri Wahyuddin nitip</t>
  </si>
  <si>
    <t>2026-07-22 08:22:38</t>
  </si>
  <si>
    <t>Safiahkafie</t>
  </si>
  <si>
    <t>Apapun nama nya,berapa pun bantuan nyaman tau,kalau mau dpt,silahkan dekati penguasa,dari jenjang terbawah,maka @# Anda pasti Dapat Bantuan apapun itu! Ini reel,kalau tidak dngn cara ini ,WASSSLAM</t>
  </si>
  <si>
    <t>2026-07-22 08:25:14</t>
  </si>
  <si>
    <t>Anin Dia</t>
  </si>
  <si>
    <t>Amin semoga anak2 saya kenah pak</t>
  </si>
  <si>
    <t>2026-07-22 08:25:20</t>
  </si>
  <si>
    <t>Mohsin Nan Chichen</t>
  </si>
  <si>
    <t>Tawa tau kaya sampai kelas menengah paling dean</t>
  </si>
  <si>
    <t>2026-07-22 08:35:40</t>
  </si>
  <si>
    <t>Mahira Icha</t>
  </si>
  <si>
    <t>Enda ka rungan2 kartu ble</t>
  </si>
  <si>
    <t>2026-07-22 08:58:11</t>
  </si>
  <si>
    <t>Zaky Adit</t>
  </si>
  <si>
    <t>Bola pe</t>
  </si>
  <si>
    <t>2026-07-22 09:21:09</t>
  </si>
  <si>
    <t>Siti Saleha</t>
  </si>
  <si>
    <t>Bgmna caranya mndptkan kartu itu ???</t>
  </si>
  <si>
    <t>2026-07-22 09:33:46</t>
  </si>
  <si>
    <t>Salwiyanti Yufisa</t>
  </si>
  <si>
    <t>GI mana cara kita dapat kartu pintar itu mas Admin 🙏😘</t>
  </si>
  <si>
    <t>2026-07-22 09:36:07</t>
  </si>
  <si>
    <t>Masia Rizqia Risma</t>
  </si>
  <si>
    <t>no soda masalah mana kaya miskin sama rata asalkan. anaknya benar layak di. perjuangkan membawa harum nama pulau sumbawa allias todeknan pintar dan berperstasi kartunya udah jelas bertuliskan (kartu sumbawa pintar) jadi tawa tau pintar2 bae si.</t>
  </si>
  <si>
    <t>2026-07-22 09:48:01</t>
  </si>
  <si>
    <t>Husnul Adian</t>
  </si>
  <si>
    <t>Ijin nanya bagaimana persyaratan agar anas didik bisa mendapatkan kartu pintar tersebut..... Apakah hanya berlaku bagi anak-anak yang tergolong dalam kelompok tertentu... Mohon pencerahan nya 🙏🙏🙏</t>
  </si>
  <si>
    <t>2026-07-22 09:51:56</t>
  </si>
  <si>
    <t>ANdana Riyadi</t>
  </si>
  <si>
    <t>Gass Bae 😁😁</t>
  </si>
  <si>
    <t>2026-07-22 09:53:59</t>
  </si>
  <si>
    <t>Cara mensejahterakan rakyat bukan dengan kartu...dengan kartu hanyalah mengikat rakyat pada sebuah cincin realita ketimpangan... Dan itu berlaku dlam kurun waktu yg lama ... Seharusnya ciptakanlah management kinerja organisasi (mko) angkatan  tenaga kerja tua muda harus di persiapkan secepatnya dlam bentuk pelatihan untuk menyambut investor sebelum memproduksi bahan sumberdaya alam di tanah intan bualeng...</t>
  </si>
  <si>
    <t>2026-07-22 10:00:16</t>
  </si>
  <si>
    <t>Ron Syukron</t>
  </si>
  <si>
    <t>buat Kartu Gas Pintar aja biar Penyaluran Gas 3Kg tepat sasaran, bukan ke tmpat yayasan MBG apalgi pebisnis</t>
  </si>
  <si>
    <t>2026-07-22 10:28:44</t>
  </si>
  <si>
    <t>Nurmawan</t>
  </si>
  <si>
    <t>Apa keriteria untuk mendapatkan kartu sumbawa pintar itu tolong diumumkan lewat medsos biar adil</t>
  </si>
  <si>
    <t>2026-07-22 10:29:50</t>
  </si>
  <si>
    <t>Bahja Udin</t>
  </si>
  <si>
    <t>Tu2 c mara leng kau adi..</t>
  </si>
  <si>
    <t>2026-07-22 10:41:39</t>
  </si>
  <si>
    <t>Harus dong sasaran nya ank yg slalu berprestasi..jngn yg kena PKH saja.
Yg di kasi.</t>
  </si>
  <si>
    <t>2026-07-22 10:45:52</t>
  </si>
  <si>
    <t>Dwi Cantika</t>
  </si>
  <si>
    <t>Sumbawa terkenal dengan harga gas termahal</t>
  </si>
  <si>
    <t>2026-07-22 10:58:44</t>
  </si>
  <si>
    <t>Muawiyah</t>
  </si>
  <si>
    <t>Mluk tu dapat kartu nn</t>
  </si>
  <si>
    <t>2026-07-22 11:01:41</t>
  </si>
  <si>
    <t>Moh Cendruang</t>
  </si>
  <si>
    <t>AP g ada kartu, gratis Kuliah............</t>
  </si>
  <si>
    <t>2026-07-22 11:03:30</t>
  </si>
  <si>
    <t>Sri Hartini Irwansah</t>
  </si>
  <si>
    <t>Saya berharap pemerintah memberikan batuan KSP ini untuk semua siswa/siswi yg menempuh pendidikan perguruan Tinggi tanpa pandang bulu, karena sekarang tingginya UKT perguruan Tinggi 🙏</t>
  </si>
  <si>
    <t>2026-07-22 11:21:15</t>
  </si>
  <si>
    <t>Dida Desiarti</t>
  </si>
  <si>
    <t>Na gama baeng dapat Kartu nan hanya anak si Anu, duan si to, sempu sai nya ana, kemanak ola sanak saoi atau sanak selaki ya begitu lah.....</t>
  </si>
  <si>
    <t>2026-07-22 13:07:53</t>
  </si>
  <si>
    <t>Hasnawati Hasnawati</t>
  </si>
  <si>
    <t>saya mau bikin apa persyaratan untuk menjadi kartu pintar</t>
  </si>
  <si>
    <t>2026-07-22 13:40:11</t>
  </si>
  <si>
    <t>Rustiati Ica</t>
  </si>
  <si>
    <t>Jawaban ke jempol👍👍</t>
  </si>
  <si>
    <t>2026-07-22 13:46:16</t>
  </si>
  <si>
    <t>Suaib Suaib</t>
  </si>
  <si>
    <t>semoga Sumbawa maju</t>
  </si>
  <si>
    <t>2026-07-22 14:02:54</t>
  </si>
  <si>
    <t>Gelo Rebeck</t>
  </si>
  <si>
    <t>Aysha Ayu Ayu Lestari ksb dilawan, bupatinya royal bosskuu pak amar ni boss</t>
  </si>
  <si>
    <t>2026-07-22 14:04:35</t>
  </si>
  <si>
    <t>Febrio Nafil</t>
  </si>
  <si>
    <t>Apa syarat bau dapat KSP nan</t>
  </si>
  <si>
    <t>2026-07-22 14:44:53</t>
  </si>
  <si>
    <t>Asmi Asmara</t>
  </si>
  <si>
    <t>muda2han kami semua sekeluarga a termasuk adekku Ahmadi pernek yg sedang sakit  dan anakx sedang membutuhkan uang untuk berobat n anakx sedang masuk SMP.semoga mendapat perhatian dari yg tim Desa.Amiun.</t>
  </si>
  <si>
    <t>2026-07-22 15:01:41</t>
  </si>
  <si>
    <t>Yublina Pasaribu</t>
  </si>
  <si>
    <t>2026-07-22 15:31:09</t>
  </si>
  <si>
    <t>Candra Karisma</t>
  </si>
  <si>
    <t>Wowo.semoga ank sy dpat.karna dia pintar</t>
  </si>
  <si>
    <t>2026-07-22 17:15:57</t>
  </si>
  <si>
    <t>Aysha Ayu Ayu Lestari KSB penduduknya sedikit bos. Kelola uangnya banyak, jadi wajar semua dapat</t>
  </si>
  <si>
    <t>2026-07-22 17:20:44</t>
  </si>
  <si>
    <t>Ikhsan Chan Ya si ke? Me data coba?</t>
  </si>
  <si>
    <t>2026-07-22 17:21:04</t>
  </si>
  <si>
    <t>Nurul Aini Khusus mahasiswa</t>
  </si>
  <si>
    <t>2026-07-22 17:21:41</t>
  </si>
  <si>
    <t>Andin Attaya ok Terima kasih</t>
  </si>
  <si>
    <t>2026-07-22 18:12:21</t>
  </si>
  <si>
    <t>Kundik Yuni</t>
  </si>
  <si>
    <t>apa kartu  ini bs dipakai untuk jenjang S2 nagaimana mendapatkan</t>
  </si>
  <si>
    <t>2026-07-22 18:14:10</t>
  </si>
  <si>
    <t>Bahiya Ambarak
Iyang kaya di penting  kan yng miski  di sisi kan   itulah jaman sekarang</t>
  </si>
  <si>
    <t>2026-07-22 18:22:17</t>
  </si>
  <si>
    <t>Hadijah Dija</t>
  </si>
  <si>
    <t>Bagaimana cara dpt kartu itu kasian ank yg mau kuliah ga ada mampu nya</t>
  </si>
  <si>
    <t>2026-07-22 18:44:36</t>
  </si>
  <si>
    <t>Agusanjas Anjas</t>
  </si>
  <si>
    <t>Mantaaaap, smga bermanfaat bagi siswa".... Maju terus Sumbawa.</t>
  </si>
  <si>
    <t>2026-07-22 18:56:19</t>
  </si>
  <si>
    <t>Budi Utomo</t>
  </si>
  <si>
    <t>ID Salju bauuuuu Belanda😁😁😁</t>
  </si>
  <si>
    <t>2026-07-22 18:58:48</t>
  </si>
  <si>
    <t>Muawiyah tawa tau pintar baesi Trang Dean ketua 🤣</t>
  </si>
  <si>
    <t>2026-07-22 19:27:41</t>
  </si>
  <si>
    <t>Dara Sudarmi jwgwnsgskwhskshsnjwhsnshdksbshsnsgwjsbsjwbshsjsbssjshsnsbgsyxgzklwlwmsnshhxksgsn</t>
  </si>
  <si>
    <t>2026-07-22 19:29:01</t>
  </si>
  <si>
    <t>Muawiyah 🥱</t>
  </si>
  <si>
    <t>2026-07-22 19:29:50</t>
  </si>
  <si>
    <t>Abdul Latief</t>
  </si>
  <si>
    <t>Pak bupati yang SEKOLAH Di SRD bisa dapat KSP juga</t>
  </si>
  <si>
    <t>2026-07-22 19:32:50</t>
  </si>
  <si>
    <t>Arahman Babas</t>
  </si>
  <si>
    <t>Apa kah semua pelajaran dari SD sampai umum pak bup Sumbawa</t>
  </si>
  <si>
    <t>2026-07-22 19:56:23</t>
  </si>
  <si>
    <t>Irine R Tanaya</t>
  </si>
  <si>
    <t>Vifit Putri Wahyuddin ordal🫣</t>
  </si>
  <si>
    <t>2026-07-22 20:38:40</t>
  </si>
  <si>
    <t>Sagitha Agaf</t>
  </si>
  <si>
    <t>Munir Tms harus peno kakan mbg..</t>
  </si>
  <si>
    <t>2026-07-22 21:26:43</t>
  </si>
  <si>
    <t>2026-07-23</t>
  </si>
  <si>
    <t>Dedy Faisal Faisal</t>
  </si>
  <si>
    <t>Bagaimana cara mendapatkan KSP karena kebetulan anak kuliah DIluar NTB...</t>
  </si>
  <si>
    <t>2026-07-23 01:08:23</t>
  </si>
  <si>
    <t>Rudi Yanto</t>
  </si>
  <si>
    <t>Sedekah kan satu buat anak saya pak bupati mohon sangat saya harap</t>
  </si>
  <si>
    <t>2026-07-23 01:14:36</t>
  </si>
  <si>
    <t>Aysha Ayu Ayu Lestari adek,untuk pemberian kartu sumbawa pintar tetap menggunakan mekanisme sesuai dengan perbup yang mengatur, untuk kejelasan bisa diminta dari bagian kesra,yang jelas syarat utamanya adalah harus ada kerjasama antara lembaga tempat mahasiswa yang megajukan beasiswa dengan pemerintah daerah,nantinya lembaga atau kampus akan mengajukan kepada pemda,baru kemudian diseleksi,</t>
  </si>
  <si>
    <t>2026-07-23 05:13:48</t>
  </si>
  <si>
    <t>Utami Marwa untuk sd,smp kan tidak dipungut biaya mb, tapi pemda tetap memberikan apresiasi untuk anak anak yang berprestasi baik dibidang olahraga maupun pendidikan</t>
  </si>
  <si>
    <t>2026-07-23 05:15:54</t>
  </si>
  <si>
    <t>Ikhsan Chan itu sebabnya ada kartu sumbawa pintar, memastikan yang sudah mendapatkan beasiswa terdata dan memastikan sesuai dengan aturan yabg diterapkan kampus masing masing,jadi pemda tidak berdiri sendiri</t>
  </si>
  <si>
    <t>2026-07-23 05:17:58</t>
  </si>
  <si>
    <t>Fujiie Kurniawan insyaallah</t>
  </si>
  <si>
    <t>2026-07-23 05:18:15</t>
  </si>
  <si>
    <t>Juliana mewakili ak bupati ya mb,syarat utama lembaga atau kampus mahasiswa berkerja sama dengan pemda,kemudian mahasiswa mendaftar ke kampus baru setelah itu kampus yang akan mengkolektif pendaftaran ke pemda dalam hal bagian kesra,untu jelasnya bisa ke bagian kesra ya mb</t>
  </si>
  <si>
    <t>2026-07-23 05:20:11</t>
  </si>
  <si>
    <t>Argha Zambava</t>
  </si>
  <si>
    <t>Candra Karisma kok Wowo,</t>
  </si>
  <si>
    <t>2026-07-23 06:33:42</t>
  </si>
  <si>
    <t>Betul bro</t>
  </si>
  <si>
    <t>2026-07-23 06:36:11</t>
  </si>
  <si>
    <t>Dwi Rahayu MJ iya mbak terimakasih banyak sebelumnya atas informasinya,biar tidak ada pertanyaan yang membuat kita bingung.</t>
  </si>
  <si>
    <t>2026-07-23 06:59:09</t>
  </si>
  <si>
    <t>Maris Gama Saling Pindi</t>
  </si>
  <si>
    <t>Hapus mbg alih kan ke pada anak sekolah yg kurang mampu</t>
  </si>
  <si>
    <t>2026-07-23 07:13:35</t>
  </si>
  <si>
    <t>Nurah Abdullah Nurah Abdullah 
Gada urusan mau miskin atau kaya bu.
Ini prusahan pemerintah aset daerah.
Bukan perusahan pribadinya.
Jd sudah seharusnya 
Memandang pelanggan itu harusnya bukan pada status tp kelancaran bayar.
Mau
Kaya/ miskin
Teman/ tidak kenal
Keluarga/ sembarang orang
Orang besar/ rakyat jelatah.
Yg penting tiap bulan bayarnya lancar itu yg harus di priiritasin.
Jika adapun di satu lingkungan pelanggan nakal, gk taan kewajiban.
Itu 1000% urusan perusahaan tok penyelesaannya, kan mereka smua punya sambungan pribadi masing-masing.
Bukannya pukul rata begini.
Mala bisa-bisa yg malas bayar yg lebih dapat menikmati airnya.
Kepada pihak PDAM, Karna masalah kemacetan ini sudah terlalu sering sy laporkan.
Dan kewajiban yg jd tanggung jawab sy kepada perusahan suda sy penuhi setiap bulannya.
Tanpa adanya timbal balik dr perusahaan.
Air yg sy harapkan gk kunjung keluar.
Satu kalimat tok pihak PDAM;
DOSA  ATAS  KEZHOLIMAN  ITU  GK  AKAN  KAMU  LIHAT  DI  DUNIA,  TP  KETIDAK  RIDHOAN  ITU  AKAN  TETAP  MENGEJAR  MU  HINGGA  KE  AKHIRAT.</t>
  </si>
  <si>
    <t>2026-07-23 07:39:56</t>
  </si>
  <si>
    <t>Ape</t>
  </si>
  <si>
    <t>Besok cetak kartu keluarga pejabat,santai bro</t>
  </si>
  <si>
    <t>2026-07-23 08:17:48</t>
  </si>
  <si>
    <t>Nang Ika</t>
  </si>
  <si>
    <t>Cara dptkan nya gemana sy mau utk adk sy yg kuliah di mataram pak</t>
  </si>
  <si>
    <t>2026-07-23 08:26:56</t>
  </si>
  <si>
    <t>Andin Attaya data ada di bagian kesra dan kampus yang bersangkutan,jadi tidak mungkin dibuka di fb,kalo bapak mau lihat bisa langsung ke bagian kesra</t>
  </si>
  <si>
    <t>2026-07-23 08:48:05</t>
  </si>
  <si>
    <t>Mas Yadi insyaallah mb,untuk seleksi melibat lembag atau kampus mahasiswa yang bersangkutan</t>
  </si>
  <si>
    <t>2026-07-23 08:49:10</t>
  </si>
  <si>
    <t>Ori Rohida ada mekanismenya mb,dan diatur dalam perbup</t>
  </si>
  <si>
    <t>2026-07-23 08:49:47</t>
  </si>
  <si>
    <t>Dwi Rahayu MJ bagaimana caranya bu</t>
  </si>
  <si>
    <t>2026-07-23 09:26:29</t>
  </si>
  <si>
    <t>Amrulhadi</t>
  </si>
  <si>
    <t>Kalau yang ada begini Ndak ada informasi sampai desa waktu kampanye semua diinformasikan sampai desa pinggir kali dulu kita sebagai tim kita kawal sampai pinggir kali hutan malahan sampai pinggir laut kalau sudah jadi orang orang terdekat yang menikmati salam janji kampanye</t>
  </si>
  <si>
    <t>2026-07-23 09:45:03</t>
  </si>
  <si>
    <t>Amey Amey</t>
  </si>
  <si>
    <t>Semoga adil dan merata</t>
  </si>
  <si>
    <t>2026-07-23 13:47:39</t>
  </si>
  <si>
    <t>Dewi Que</t>
  </si>
  <si>
    <t>Aminn pak semoga selalu amnah dan sukses selalu pak bupati👍👍</t>
  </si>
  <si>
    <t>2026-07-23 14:40:29</t>
  </si>
  <si>
    <t>Nurdianah Zainuddin</t>
  </si>
  <si>
    <t>Kok dari sekian banyak resfon pertanyaan comments tidak ada satupun yang terjawsp</t>
  </si>
  <si>
    <t>2026-07-23 16:30:30</t>
  </si>
  <si>
    <t>Sudah banyak comments dari masyarakat, tidak ada resfon satupun dari bapak bupati yang terhormat</t>
  </si>
  <si>
    <t>2026-07-23 16:32:11</t>
  </si>
  <si>
    <t>Andin Attaya 😂😂 bukan masalah sedikit dan banyak penduduknya, yg terpenting pemerintahnya perduli sama rakyatnya.</t>
  </si>
  <si>
    <t>2026-07-23 16:36:12</t>
  </si>
  <si>
    <t>Masdah</t>
  </si>
  <si>
    <t>AisyahOllshop kalau anak saya kampus yg daftar</t>
  </si>
  <si>
    <t>2026-07-23 16:43:44</t>
  </si>
  <si>
    <t>Asma Hamzah</t>
  </si>
  <si>
    <t>Kayaknya orang pintar aja yg dpt</t>
  </si>
  <si>
    <t>2026-07-23 16:52:08</t>
  </si>
  <si>
    <t>Ln J</t>
  </si>
  <si>
    <t>Masia Rizqia Risma siong nn maksud ibu makdud bau bau sarea putra putri sumbaea a na ada deno pintar bau pintar sareana</t>
  </si>
  <si>
    <t>2026-07-23 19:33:52</t>
  </si>
  <si>
    <t>Syarat² tuk mendapatkan gimana pk</t>
  </si>
  <si>
    <t>2026-07-23 20:23:34</t>
  </si>
  <si>
    <t>2026-07-24</t>
  </si>
  <si>
    <t>Momy Izha Angga</t>
  </si>
  <si>
    <t>Jangan cuma pos di media coba turun ke desa desa  umumikn langsung di desa ato melalui camat biyar masarakat tau semua  untuk  dan cara kita dapatkan kartu itu  jelaskan sedetil detil nya di masarakat</t>
  </si>
  <si>
    <t>2026-07-24 09:30:43</t>
  </si>
  <si>
    <t>Sahra Mastar mungkin siluman nya pemerinta</t>
  </si>
  <si>
    <t>2026-07-24 09:33:39</t>
  </si>
  <si>
    <t>Vifit Putri Wahyuddin tonton disini ya Bun ..
https://www.facebook.com/share/v/1E6VkHEXN5/</t>
  </si>
  <si>
    <t>2026-07-24 19:10:25</t>
  </si>
  <si>
    <t>Muhammad Gibran tonton penjelasan lengkap terkait KSP : 
https://www.facebook.com/share/v/1E6VkHEXN5/</t>
  </si>
  <si>
    <t>2026-07-24 19:11:01</t>
  </si>
  <si>
    <t>2026-07-25</t>
  </si>
  <si>
    <t>Bang Win</t>
  </si>
  <si>
    <t>Hanya untuk orang-orang tertentu saja</t>
  </si>
  <si>
    <t>2026-07-25 17:59:31</t>
  </si>
  <si>
    <t>Sri Nurhidayati</t>
  </si>
  <si>
    <t>2026-07-25 23:02:23</t>
  </si>
  <si>
    <t>2026-07-26</t>
  </si>
  <si>
    <t>Acumalaka Brainrot</t>
  </si>
  <si>
    <t>semoga tepat sasaran. berguna bagi orang kaya saja</t>
  </si>
  <si>
    <t>2026-07-26 09:49:35</t>
  </si>
  <si>
    <t>Pedro</t>
  </si>
  <si>
    <t>Syarafuddin Jarot lalu urusan gas elpiji 3kg solusinya bagaimana pak,saya rakyat kecil kalau sampai beli gas 3kg dengan harga /tabung 3kg 50rb sampai 60rb itu sangat terbebani pak bupati yang terhormat dan saya jujur sudah 3 tahun tidak pernah beli gas 3kg di pangkalan coba anda sebagai kepala daerah merasakan apa yang sekarang saya rasakan dengan ekonomi yang serba pas Pasan,mungkin anda baru 5x saja beli gas 3kg yang harga mahal langsung struke.saya dri alas</t>
  </si>
  <si>
    <t>2026-07-26 16:51:51</t>
  </si>
  <si>
    <t>2026-07-27</t>
  </si>
  <si>
    <t>Dwi Sukaesih HA</t>
  </si>
  <si>
    <t>Mau dong buat anak</t>
  </si>
  <si>
    <t>2026-07-27 11:01:32</t>
  </si>
  <si>
    <t>Arvino Rafa Syah</t>
  </si>
  <si>
    <t>Semoga bermanfaat dan tepat sasaran</t>
  </si>
  <si>
    <t>https://web.facebook.com/share/p/1JKSaFDCkr/</t>
  </si>
  <si>
    <t>2026-07-21 22:34:23</t>
  </si>
  <si>
    <t>Boerhan Samawarea</t>
  </si>
  <si>
    <t>روسمياتي سيكا رزلميلاني</t>
  </si>
  <si>
    <t>Semoga tepat sasaran yg kena itu krtu</t>
  </si>
  <si>
    <t>2026-07-22 08:34:42</t>
  </si>
  <si>
    <t>Bintang Kegelapan</t>
  </si>
  <si>
    <t>Sy jamin untuk mendapatkan kartu itu.. perlu koneksi dulu , perlu pendekatan, perlu orng dalam.. INDONESIA ini kawan, indah ketika di media pemberitaan</t>
  </si>
  <si>
    <t>2026-07-22 15:38:18</t>
  </si>
  <si>
    <t>Yuss</t>
  </si>
  <si>
    <t>Harapan saya Kartu Sumbawa Pintar ini bisa tepat sasaran....Krena di era Kartu Indonesia pintar banyak sekali yg benar2 membutuhkan dan berjuang keras untuk bisa masuk ke jenjang kuliah tidak mendapatkan Kartu tersebut sedang banyak pula anak2 yg menerima langsung kartu tersebut dari sekolah namun menyianyiakan peluang tersebut lalu lebih memilih nikah muda bahkan SMP pun tidak lulus.....dan ya peran ortu yg merasa dirinya tidak mampu untuk membawa anaknya hingga ke jenjang perkuliahan sangat penting di sini... Apalagi ortu yg secara sadar bahwa anaknya menerima langsung kartu tersebut dari sekolah sejak SD atau SMP tolong didik anaknya agar tidak menyia-nyiakan kartu tersebut Krena banyak sekali anak yg bisa sampe ke jenjang perkuliahan namun tidak bisa Krena faktor ekonomi juga tidak adanya dukungan keluarga....</t>
  </si>
  <si>
    <t>2026-07-22 16:27:43</t>
  </si>
  <si>
    <t>Willy Akhyar</t>
  </si>
  <si>
    <t>Bintang Kegelapan luar biasa beritanya namun tanpa penjelasan banyak pertanyaan tdk ada yg bisa jawab sungguh luar biasa apakah yg menyebarkan sdh mendptkan kartunya😀😀😀</t>
  </si>
  <si>
    <t>2026-07-23 06:33:08</t>
  </si>
  <si>
    <t>Illun Nollenn</t>
  </si>
  <si>
    <t>Arvino Rafa Syah kesaket tu dapat lamin nda tau dalam...😆😆😆 indonesia deta akaa</t>
  </si>
  <si>
    <t>2026-07-23 07:44:01</t>
  </si>
  <si>
    <t>Illun Nollenn demo Nn e,mesa2 mu mo Adi e</t>
  </si>
  <si>
    <t>2026-07-23 10:19:30</t>
  </si>
  <si>
    <t>Semoga tepat sasaran ,</t>
  </si>
  <si>
    <t>2026-07-23 12:13:47</t>
  </si>
  <si>
    <t>Masniati</t>
  </si>
  <si>
    <t>Semoga tepat sasaran, karena KIP masi ada yg belum tepat sasaran 🙏🙏🙏</t>
  </si>
  <si>
    <t>2026-07-23 19:04:59</t>
  </si>
  <si>
    <t>Arta Saputra</t>
  </si>
  <si>
    <t>Melok cara bau tau dapat kartu nan bele 🙏</t>
  </si>
  <si>
    <t>2026-07-23 22:26:53</t>
  </si>
  <si>
    <t>Nova Sulistianingsih</t>
  </si>
  <si>
    <t>Mluk tu dpt</t>
  </si>
  <si>
    <t>2026-07-24 12:16:57</t>
  </si>
  <si>
    <t>Ety Tri Wahyuni</t>
  </si>
  <si>
    <t>Kartu itu utk orang pintar atau utk orang yg dekat sama orang2 penting</t>
  </si>
  <si>
    <t>2026-07-24 12:31:19</t>
  </si>
  <si>
    <t>Putri Nhino</t>
  </si>
  <si>
    <t>Bintang Kegelapan betullllll</t>
  </si>
  <si>
    <t>2026-07-24 13:19:25</t>
  </si>
  <si>
    <t>Arta Saputra orang orang yang punya koneksi</t>
  </si>
  <si>
    <t>2026-07-24 13:19:27</t>
  </si>
  <si>
    <t>Putri Nhino Ba no soda tegas ia Pina perokram nan Lamin nan lok</t>
  </si>
  <si>
    <t>2026-07-24 13:31:25</t>
  </si>
  <si>
    <t>Lisa Izmiwardati Rachim</t>
  </si>
  <si>
    <t>Bintang Kegelapan persyaratan sebagai penerima beasiswa ndak ada informasi di media. Tapi tiba" sudah ada berita penerima beasiswanya di media.</t>
  </si>
  <si>
    <t>2026-07-24 18:47:47</t>
  </si>
  <si>
    <t>Yung Surya</t>
  </si>
  <si>
    <t>Semoga kita bisa dapatkan kartu tersebut</t>
  </si>
  <si>
    <t>2026-07-24 21:53:20</t>
  </si>
  <si>
    <t>Faisal Salim Al Atas</t>
  </si>
  <si>
    <t>Ayo dukung Dakwah Sampai Ke Pelosok. Bantu viralkan kembali. Berlangganan Hari Ini Yuuukkkk!! https://www.facebook.com/faisal.a.atas.3/subscribenow?surface=pinned_comments</t>
  </si>
  <si>
    <t>https://web.facebook.com/share/p/1HUK6a9QkS/</t>
  </si>
  <si>
    <t>2026-07-20 14:32:39</t>
  </si>
  <si>
    <t>Jun Al-Pendemi</t>
  </si>
  <si>
    <t>Miris abah, STAI Nahdlatul Wathan Samawa Stai NW Samawa tidak masuk sebagai penerima. Stai nw samawa butuh keadilan.</t>
  </si>
  <si>
    <t>2026-07-21 10:09:24</t>
  </si>
  <si>
    <t>Jun Al-Pendemi kenapa ???</t>
  </si>
  <si>
    <t>2026-07-21 14:23:05</t>
  </si>
  <si>
    <t>Faisal Salim Al Atas tidak adil dalam pembagian kuota</t>
  </si>
  <si>
    <t>2026-07-21 15:44:50</t>
  </si>
  <si>
    <t>Abdul Fattahillah</t>
  </si>
  <si>
    <t>Faisal Salim Al Atas padahal ada MOU kerjasama di atas matera. Dea Guru</t>
  </si>
  <si>
    <t>2026-07-21 16:15:01</t>
  </si>
  <si>
    <t>Syafruddin</t>
  </si>
  <si>
    <t>Salam sukses bang faje</t>
  </si>
  <si>
    <t>https://web.facebook.com/share/p/1FAweV127P/</t>
  </si>
  <si>
    <t>2026-07-21 11:05:39</t>
  </si>
  <si>
    <t>Fajar Rachmat</t>
  </si>
  <si>
    <t>Santos Gaung</t>
  </si>
  <si>
    <t>mantap bang Rektor</t>
  </si>
  <si>
    <t>2026-07-21 11:17:02</t>
  </si>
  <si>
    <t>Santos Gaung 🙏</t>
  </si>
  <si>
    <t>2026-07-21 13:03:51</t>
  </si>
  <si>
    <t>Muhammad Sukarman 👍</t>
  </si>
  <si>
    <t>2026-07-21 13:03:58</t>
  </si>
  <si>
    <t>Syafruddin Makasih</t>
  </si>
  <si>
    <t>2026-07-21 13:04:05</t>
  </si>
  <si>
    <t>Jalaludin Intel NTB Gemilang</t>
  </si>
  <si>
    <t>2026-07-21 13:04:14</t>
  </si>
  <si>
    <t>Efylilyk</t>
  </si>
  <si>
    <t>👍</t>
  </si>
  <si>
    <t>2026-07-21 14:49:46</t>
  </si>
  <si>
    <t>Ahmad Wahyu Hidayat</t>
  </si>
  <si>
    <t>2026-07-21 19:22:56</t>
  </si>
  <si>
    <t>Efylilyk 👍</t>
  </si>
  <si>
    <t>2026-07-21 22:59:10</t>
  </si>
  <si>
    <t>Idoet Tiar</t>
  </si>
  <si>
    <t>MasyaAllah sukses terus duanda.</t>
  </si>
  <si>
    <t>2026-07-22 08:51:33</t>
  </si>
  <si>
    <t>Eliana Ndi Oja Prasmanan</t>
  </si>
  <si>
    <t>Mantap bos Rektor hebat👍</t>
  </si>
  <si>
    <t>2026-07-22 12:47:51</t>
  </si>
  <si>
    <t>Sino Jerang</t>
  </si>
  <si>
    <t>Harus bersinergi</t>
  </si>
  <si>
    <t>2026-07-22 21:34:44</t>
  </si>
  <si>
    <t>Alhamdulillah tetap semangat dan sehat selalu dan sekilas info gas subsidi 3kg disumbawa sangat ruwet tidak teratur ..makasih harap maklum ..🙏🙏🙏</t>
  </si>
  <si>
    <t>2026-07-24 14:11:11</t>
  </si>
  <si>
    <t>Iwan Sofian</t>
  </si>
  <si>
    <t>Saya menawarkan videogram di Storefront saya! Mintalah video khusus untuk Anda, teman, atau keluarga. https://www.facebook.com/iwansofian87/storefront?entry=pinned_comment</t>
  </si>
  <si>
    <t>https://web.facebook.com/share/v/1L1TkDXWXM/</t>
  </si>
  <si>
    <t>2026-07-20 15:18:38</t>
  </si>
  <si>
    <t>Pranajaya</t>
  </si>
  <si>
    <t>Pelajar g dapat kee uwak??</t>
  </si>
  <si>
    <t>2026-07-20 17:07:54</t>
  </si>
  <si>
    <t>Buk Na</t>
  </si>
  <si>
    <t>Assalamualikum pak tabe ini khusus yang dpt kampus yang kerjasama dan kriteria penerimanya apa saja ?</t>
  </si>
  <si>
    <t>2026-07-20 20:35:13</t>
  </si>
  <si>
    <t>Ely Sulastri</t>
  </si>
  <si>
    <t>bagaimana cara mendapatkan kartu Sumbawa pintar</t>
  </si>
  <si>
    <t>2026-07-21 10:27:38</t>
  </si>
  <si>
    <t>Buk Na yang 1.kampus atau lembaga harus bekerjasama dengan pemda,lalu mahasiswa mendaftar dikampus nya
2. kampus secara kolektif mendaftar ke pemda
3. pemda dalam hal ini bag kesra bersama kampus akan menyeleksi sesuai dengan kriteria yang diatur dalaam perbup</t>
  </si>
  <si>
    <t>2026-07-24 21:42:46</t>
  </si>
  <si>
    <t>Emma Nursiani</t>
  </si>
  <si>
    <t>Bagaimana cara mendapatkan Kartu Sumbawa Pintar 🙏</t>
  </si>
  <si>
    <t>2026-07-25 12:22:35</t>
  </si>
  <si>
    <t>Assalamualaikum,,, pak numpng tanyk bagaimana cara dptkanx</t>
  </si>
  <si>
    <t>2026-07-26 19:03:17</t>
  </si>
  <si>
    <t>Mariyanti Usman</t>
  </si>
  <si>
    <t>Bagaimana caranya dan apa persyaratan mendapatkan Kartu Sumbawa pintar itu pak</t>
  </si>
  <si>
    <t>2026-07-27 09:16:15</t>
  </si>
  <si>
    <t>Emma Nursiani Bisa datangi Bag Kesra Setda Bi haja</t>
  </si>
  <si>
    <t>2026-07-27 16:50:31</t>
  </si>
  <si>
    <t>Buk Na iyah</t>
  </si>
  <si>
    <t>2026-07-27 16:50:39</t>
  </si>
  <si>
    <t>روسمياتي سيكا رزلميلاني bisa ke bag Kesra ya</t>
  </si>
  <si>
    <t>2026-07-27 16:50:56</t>
  </si>
  <si>
    <t>Baca Berita Selengkapnya Di Liputansumbawa.id | Kirim Pesan Anda Ke Box Redaksi Kami .. https://www.facebook.com/LiputanSumbawa/storefront?entry=pinned_comment</t>
  </si>
  <si>
    <t>https://web.facebook.com/share/v/1CbMB5dHSV/</t>
  </si>
  <si>
    <t>2026-07-24 18:17:46</t>
  </si>
  <si>
    <t>Gasken</t>
  </si>
  <si>
    <t>2026-07-24 19:07:23</t>
  </si>
  <si>
    <t>Datu Syahbani</t>
  </si>
  <si>
    <t>Sasaran..?
Kriterianya..?</t>
  </si>
  <si>
    <t>2026-07-24 19:15:38</t>
  </si>
  <si>
    <t>Datu Syahbani tonton sampai habis, 
Sasaran : Mahasiswa dan mahasiwi 
Kriteria : Kampus yang terdaftar , Mahasiswa dan mahasiwi yang berprestasi</t>
  </si>
  <si>
    <t>2026-07-24 19:21:54</t>
  </si>
  <si>
    <t>Dangkal tonton di video ... Ada di jelaskan .. 
Secara sekilas : harus kampus yang terdaftar, nanti mahasiswa atau mahasiswa mengajukan ke pihak kampus, kalau kampus belum terdaftar, kampus daftar dulu ke bagian pemerintahan Setda kab Sumbawa...</t>
  </si>
  <si>
    <t>2026-07-24 20:33:23</t>
  </si>
  <si>
    <t>Nununglusiyana</t>
  </si>
  <si>
    <t>Saya menawarkan videogram di Storefront saya! Mintalah video khusus untuk Anda, teman, atau keluarga. https://www.facebook.com/100057541207745/storefront?entry=pinned_comment</t>
  </si>
  <si>
    <t>https://web.facebook.com/share/p/1Kvm1Mxe6W/</t>
  </si>
  <si>
    <t>2026-07-21 07:31:07</t>
  </si>
  <si>
    <t>Sri Rosihan</t>
  </si>
  <si>
    <t>Assalamualaikum..Klo boleh tau persyaratannya apa saja..🙏</t>
  </si>
  <si>
    <t>2026-07-21 16:17:27</t>
  </si>
  <si>
    <t>Ahyan Yonet Ahyan Yonet</t>
  </si>
  <si>
    <t>Klu boleh tau gimana sih katagorinya yang dpt  kartu sumbawa pintar?? Dan gimanacara dapetinnya</t>
  </si>
  <si>
    <t>2026-07-21 19:04:23</t>
  </si>
  <si>
    <t>Ahyan Yonet Ahyan Yonet Hingga 21 Juli 2026, Pemerintah Kabupaten Sumbawa belum menerbitkan petunjuk teknis (juknis) atau pengumuman resmi yang memuat syarat lengkap dan mekanisme pendaftaran umum Kartu Sumbawa Pintar (KSP). Yang sudah diumumkan baru peluncuran program dan penyerahan kepada penerima tahap awal.</t>
  </si>
  <si>
    <t>2026-07-21 19:26:50</t>
  </si>
  <si>
    <t>Sri Rosihan Berdasarkan penjelasan pemerintah, calon penerima nantinya kemungkinan akan memenuhi persyaratan seperti:
📍 Berdomisili di Kabupaten Sumbawa.
🪪 Memiliki KTP/KK Kabupaten Sumbawa.
🎓 Berstatus mahasiswa aktif atau calon mahasiswa sesuai ketentuan program.
📄 Memenuhi persyaratan administrasi dan ketentuan beasiswa yang ditetapkan Pemkab.
📑 Mengikuti proses verifikasi dan penetapan sebagai penerima. Namun, rincian resmi masih menunggu juknis</t>
  </si>
  <si>
    <t>2026-07-21 19:27:56</t>
  </si>
  <si>
    <t>Nununglusiyana  tiba² dah denger penyerahan aja, gk pernah denger kabar mekanisme pendaptaran gimana dan dimana, eh tau tau dah peluncuran</t>
  </si>
  <si>
    <t>2026-07-21 20:52:00</t>
  </si>
  <si>
    <t>Nununglusiyana Makasih banyak bunda infonya 🙏🏻🙏🏻</t>
  </si>
  <si>
    <t>2026-07-21 21:22:31</t>
  </si>
  <si>
    <t>Knp ngg di jlskan syarat yg hrs di penuhi utk pendpt kārtu pintar bts sampai anak juara brp .penting bg sy krn āda yg jls 3 smk d kls3 SMP anak sy</t>
  </si>
  <si>
    <t>2026-07-21 22:42:50</t>
  </si>
  <si>
    <t>Susah klau gk ada ordlm.tiba udh pembgian🤣🤣</t>
  </si>
  <si>
    <t>2026-07-21 23:44:31</t>
  </si>
  <si>
    <t>Erwin</t>
  </si>
  <si>
    <t>mudah2 yg orang tua nya pekerjaan... 
jadi buruh.. dan jadi ibu rumah tangga
itu yg di perioritaskan.. mudah² tepat sasaran aja</t>
  </si>
  <si>
    <t>2026-07-22 01:01:49</t>
  </si>
  <si>
    <t>Kamal Din</t>
  </si>
  <si>
    <t>Semoga niat baik pemerintah berkah buat rakyat,terutama tepat sasaran</t>
  </si>
  <si>
    <t>2026-07-22 06:59:02</t>
  </si>
  <si>
    <t>Kamal Din insya Allah Amin ya Allah 🤲</t>
  </si>
  <si>
    <t>2026-07-22 10:20:52</t>
  </si>
  <si>
    <t>Sri Rosihan sama sama Bu</t>
  </si>
  <si>
    <t>2026-07-22 10:22:28</t>
  </si>
  <si>
    <t>Erwin amin Amin 🤲</t>
  </si>
  <si>
    <t>2026-07-22 10:22:47</t>
  </si>
  <si>
    <t>Trnyta untuk orang kuliah doang</t>
  </si>
  <si>
    <t>2026-07-22 10:55:21</t>
  </si>
  <si>
    <t>Pa g ada kartu gratis kuliah............</t>
  </si>
  <si>
    <t>2026-07-22 11:21:40</t>
  </si>
  <si>
    <t>Susmiaty Ishak</t>
  </si>
  <si>
    <t>bantu jawab mekanisme cara mendapatkan  KSP ( kartu sumbawa pintar) untuk kedokteran unram ikut dulu tes seleksi masuk fakultas kedokteran unram jalur mandiri kemitraan jika di nyatakan lulus oleh pihak unram baru bisa  mendapatkan beasiswa tersebut🙏🏻</t>
  </si>
  <si>
    <t>2026-07-22 12:06:28</t>
  </si>
  <si>
    <t>Sri Anto kalo di KSB merata di kasih kartu KSB maju untuk seluruh anak yg sekolah ,kaya maupun yg kurang mampu ,pemerintah ksb TDK pilih kasih, yg penting ada anak sekolah .mau sekolahnya di luar daerah atau TDK tetap di kasih.</t>
  </si>
  <si>
    <t>2026-07-22 15:30:13</t>
  </si>
  <si>
    <t>Aysha Ayu Ayu Lestari masya Allah.smg di sbw jg bgt MBA.km org ya ktkan Kurāng mampu setdk2 nya dg program yg merata anak2 sy bs menempuh mendidikan šorti org2 yg mampu</t>
  </si>
  <si>
    <t>2026-07-22 18:15:44</t>
  </si>
  <si>
    <t>Aysha Ayu Ayu Lestari masyaallah  tabararakkallah..sehat selalu  bupati .KSB</t>
  </si>
  <si>
    <t>2026-07-23 15:06:30</t>
  </si>
  <si>
    <t>Na Gama serea pegawai Ina bpk de Kena ke tau mampu .klng engka tepat sasaran CB sasir Kena kādu yg ksb..kt amiin kan dl</t>
  </si>
  <si>
    <t>2026-07-23 18:01:52</t>
  </si>
  <si>
    <t>Shandi Jho</t>
  </si>
  <si>
    <t>Luar biasa PK bupati kita.menuju kabupaten Sumbawa yang unggul maju dan sejahtera</t>
  </si>
  <si>
    <t>https://web.facebook.com/share/p/1D582FxEeZ/</t>
  </si>
  <si>
    <t>2026-07-20 20:10:40</t>
  </si>
  <si>
    <t>Prokopim Sumbawa</t>
  </si>
  <si>
    <t>إروان</t>
  </si>
  <si>
    <t>STAI NW Samawa terlewat pak
Mohon infonya jika kami bisa usul,banyak mahasiswa kami yg kurang mampu.
Sekiranya Pemda bisa pertimbangkan untuk mahasiswa2 kami, mengingat kami sdah MOU juga dengan Bupati Sumbawa.</t>
  </si>
  <si>
    <t>2026-07-20 20:39:16</t>
  </si>
  <si>
    <t>Dina Diana Iskandar</t>
  </si>
  <si>
    <t>Menunggu khbr baik untuk S2 dan S3</t>
  </si>
  <si>
    <t>2026-07-20 21:20:35</t>
  </si>
  <si>
    <t>Surgaku</t>
  </si>
  <si>
    <t>Semoga tepat sasaran...</t>
  </si>
  <si>
    <t>2026-07-21 09:45:58</t>
  </si>
  <si>
    <t>Iwan Jazadi</t>
  </si>
  <si>
    <t>Selamat untuk Bpk Bupati dan Pemda Sumbawa dengan program KSP ini. Terima kasih untuk punlikasi di atas, kami jadi tahu. Namun, sayang sekali, kami STKIP Paracendekia NW Sumbawa belum terekpose dengan program ini. Di mana kami dapat mengakses secara terbuka tentang prosedur, mekanisme dan kriteria yang berlaku agar mahasiswa kami yang memenuhi syarat bisa melamar untuk mendapat beasiswa ini? Mohon jadi atensi Pak Bupati Sumbawa dan jajaran. Prokopim Sumbawa. Terima kasih.</t>
  </si>
  <si>
    <t>2026-07-21 21:12:18</t>
  </si>
  <si>
    <t>Shandi Jho semoga tepat sasaranx</t>
  </si>
  <si>
    <t>2026-07-22 10:09:23</t>
  </si>
  <si>
    <t>Hertati minta doa dan supportnya bi🙏🏻🙏🏻</t>
  </si>
  <si>
    <t>2026-07-22 10:59:53</t>
  </si>
  <si>
    <t>Shandi Jho sllu</t>
  </si>
  <si>
    <t>2026-07-22 11:25:27</t>
  </si>
  <si>
    <t>Hertati trimakasih bi🙏🏻🙏🏻</t>
  </si>
  <si>
    <t>2026-07-22 12:18:28</t>
  </si>
  <si>
    <t>Suprap Tono</t>
  </si>
  <si>
    <t>Kenapa tidak dari smp SMA pk,apakah bapk tau kalau masih ada anak anak di desa desa yg masih putus secolah karna tidak mampu,apakah BPK pernah tau bagai mana orang tua yg serba kekurangan bekerja keras untuk membiayai anak anak nya untuk scola,tetapi apakah BPK pernah berpikir untuk yg sudah S1 apakah sudah berapa yg sudah bekerja pk,untuk apa anak anak kita scola kalau kelak mereka akana nganggur pk.itu yg harus pemerintah pikirkan,pekerjaan yg layak untuk kami para orang tua,</t>
  </si>
  <si>
    <t>2026-07-22 13:49:56</t>
  </si>
  <si>
    <t>Dangkal</t>
  </si>
  <si>
    <t>https://web.facebook.com/share/p/1HzTaLLRra/</t>
  </si>
  <si>
    <t>2026-07-25 23:23:20</t>
  </si>
  <si>
    <t>SAMAWA LAWYER CLUB</t>
  </si>
  <si>
    <t>Semua Orang</t>
  </si>
  <si>
    <t>2026-07-25 23:24:33</t>
  </si>
  <si>
    <t>Untuk keluarga, kroni,kerabat, timses dan org terdekat saja itu. Sudah jadi rahasia umum itu</t>
  </si>
  <si>
    <t>2026-07-25 23:46:02</t>
  </si>
  <si>
    <t>Papu Dea Busing Alas</t>
  </si>
  <si>
    <t>Universitas manakah itu 🤔🤔🤔</t>
  </si>
  <si>
    <t>2026-07-26 06:33:04</t>
  </si>
  <si>
    <t>Gus Marlin</t>
  </si>
  <si>
    <t>Usul sendiri dan cukup pemerintah memberikan ruang pembiayaan bagi orang2 yg punya potensi atau tidak mampu agar mendapatkan dana kesra daerah, syukur2 Pemda menyebut semua kampus2 lokal yg mendapatkan bagian Krn seharusnya pemda menetapkan kriteria bagi kampus cukup potensial dan berstandar grate A. Jgn berharap lebih kita sudah diberi ruang tp minta disuap sampai kenyang lagi</t>
  </si>
  <si>
    <t>2026-07-26 08:27:44</t>
  </si>
  <si>
    <t>DEAODE_7484</t>
  </si>
  <si>
    <t>Ya pasti lingkungan mereka mereka saja balas jasa ke timses pastinya</t>
  </si>
  <si>
    <t>2026-07-26 09:18:03</t>
  </si>
  <si>
    <t>Gian Amirullah</t>
  </si>
  <si>
    <t>Kalau memang ada yg mengaku belum pernah kerja sama, ya tinggal diklarifikasi dulu bro, jangan langsung dibentuk seolah2 pemerintah tidak transparan. Di pemberitaan jelas disebut ada beberapa perguruan tinggi mitra, bukan berarti semua kampus yg disebut harus menerima manfaat di tahun yg sama. Justru sebelum menuduh, cek dulu data dan mekanisme programnya. Kritik boleh, tp jangan sampai kesimpulan lebih cepat dari klarifikasi. 😌🙏</t>
  </si>
  <si>
    <t>2026-07-26 11:22:40</t>
  </si>
  <si>
    <t>DEAODE_7484 Kalau ada bukti bagi dong bro, jangan cuma asumsi. Beasiswa itu ada data penerima dan mekanismenya, bukan dibagi berdasarkan siapa timses atau bukan. Jangan karena beda pilihan politik, semua program baik langsung dicurigai balas jasa.hadehhh🤭</t>
  </si>
  <si>
    <t>2026-07-26 11:26:22</t>
  </si>
  <si>
    <t>Doni Adi Franata</t>
  </si>
  <si>
    <t>Coba sebutkan nama kampusnya bang.. biar bisa di advokasi dan di Carikan solusi biar hanya tidak di kliam saja..</t>
  </si>
  <si>
    <t>2026-07-26 12:31:42</t>
  </si>
  <si>
    <t>RahmadSueb</t>
  </si>
  <si>
    <t>Gus Marlin Yg dibahas bukan minta "disuap", tapi memastikan anggaran pendidikan tepat sasaran dan memberi manfaat seluas-luasnya. Kalau pemerintah membuka ruang pembiayaan, justru wajar masyarakat bertanya soal kriteria, transparansi, dan pemerataan. Pendidikan itu investasi SDM, bukan belas kasihan.</t>
  </si>
  <si>
    <t>2026-07-26 12:34:41</t>
  </si>
  <si>
    <t>Ones Gaming Good governance dibangun dr transparansi &amp; akuntabilitas. Kritik perlu, tp ttp hrs berbasis fakta, bkn stigma</t>
  </si>
  <si>
    <t>2026-07-26 12:36:14</t>
  </si>
  <si>
    <t>RahmadSueb Fakta ini mas. Apa perlu sy bongkar nama oknumnya satu², perlu sy bongkar juga nama anak² keluarga, kerabat, dan timsesnya.</t>
  </si>
  <si>
    <t>2026-07-26 12:48:17</t>
  </si>
  <si>
    <t>Program uji coba. Tetangga kita KSB sudah lebih dulu luncurkan program serupa. KS yang semula Induk Semang  baru sekarang. 🤦 Apakah senior harus belajar dari yunior...... ???
Dengan basic Bupati KS  sudah bisa dipastikan akan sangat berpengalaman mengelola area Tambang menjadi PAD yang lebih besar dari KSB. 🇮🇩</t>
  </si>
  <si>
    <t>2026-07-26 13:16:27</t>
  </si>
  <si>
    <t>Beds Baenk</t>
  </si>
  <si>
    <t>Simbolis Bae si to</t>
  </si>
  <si>
    <t>2026-07-26 15:42:33</t>
  </si>
  <si>
    <t>RahmadSueb masyarakat msh byk yg berfikir setiap anggaran itu dapat dimiliki secara langsung apabila sudah disediakan oleh pemerintah, pdhl tanpa tau proses dan kmunikasi ke pihak terkait, itu sama saja minta disuap dgn dalih mereka sy kenal, dulu sy yg pilih, sebelumnya dia yg sll datang, dll. Pemikiran sperti itu harusnya dirubah agar setiap kita bisa membuka akses setidaknya berusaha tau dan bertanya bagaimana prosesnya. Jgn sekedar 1x atau 3x tau, sudah mengaggap telah mencoba, itulah maksud qt menjadi org yg ingin sll disuap.</t>
  </si>
  <si>
    <t>2026-07-26 16:21:50</t>
  </si>
  <si>
    <t>Gus Marlin Setuju soal pentingnya paham proses. Tp jgn smpai masyarakat yg bertanya ttg haknya malah dianggap minta disuap. Dlm pemerintahan yg baik, akses informasi, transparansi, &amp; pelayanan publik itu kewajiban negara, bkn pemberian. Masyarakat berhak bertanya, pemerintah berkewajiban menjelaskan.</t>
  </si>
  <si>
    <t>2026-07-26 18:33:32</t>
  </si>
  <si>
    <t>Ones Gaming Klw itu memang fakta, silakan tempuh mekanisme yg benar. Buka dgn bukti yg bs diuji, bkn sekadar klaim di kolom komentar. Negara hukum menyelesaikan dugaan dgn data &amp; proses, bukan opini.</t>
  </si>
  <si>
    <t>2026-07-26 19:34:15</t>
  </si>
  <si>
    <t>ada buktinya ? mas, jangan karena tidak suka akhirnya membuta, bagian yang mengurusi beasiswa sudah jelas ada .positif thingking mas,....</t>
  </si>
  <si>
    <t>2026-07-27 16:08:06</t>
  </si>
  <si>
    <t>Ones Gaming ada buktinya mas,....jangan berprasangka mas,   bagian yang membidangi beasiswa ada kok, bisa ditanyakan</t>
  </si>
  <si>
    <t>2026-07-27 16:10:20</t>
  </si>
  <si>
    <t>RahmadSueb mekanisme apa yg harus ditempuh. Negara ini adalah pasar jual beli hukum, kalaupun kulaporkan ketimpangan ini sampai ke mahkamah agung, tidak akan ada yg mendengar jeritan rakyat yg tidak beruang. Sampai sini faham !</t>
  </si>
  <si>
    <t>2026-07-27 17:01:07</t>
  </si>
  <si>
    <t>Dwi Rahayu MJ stop berbicara bukti jika bertentangan dengan kepentingan pemerintah. Rakyat hanyalah semut didaun kering</t>
  </si>
  <si>
    <t>2026-07-27 17:01:53</t>
  </si>
  <si>
    <t>RahmadSueb usul saja mas, tidak perlu dgn mendramatisir unsur transparansi, semua pihak juga tau termasuk pihak kampus tau sifat dana kesra itu bagaimana, usul saja, pemerintah sudah memberi sinyal kampus mana yg diberi ruang. Jika sudah usul  dan pernah mencoba baru banyak berkomentar.</t>
  </si>
  <si>
    <t>2026-07-27 17:57:22</t>
  </si>
  <si>
    <t>Deden Narumisan Sarizawa</t>
  </si>
  <si>
    <t>Pida isi kartu nan....????</t>
  </si>
  <si>
    <t>https://web.facebook.com/share/p/1FLq2K2Y5N/</t>
  </si>
  <si>
    <t>2026-07-20 16:12:50</t>
  </si>
  <si>
    <t>Sahril Imran</t>
  </si>
  <si>
    <t>Deden Narumisan Sarizawa Kepo, me lowe biaya kuliah sampe tamat ne</t>
  </si>
  <si>
    <t>2026-07-20 17:29:52</t>
  </si>
  <si>
    <t>Sahril Imran masa tau kuliah Bae dapat....mlok paud,TK,SD,SMP,sma</t>
  </si>
  <si>
    <t>2026-07-20 18:46:06</t>
  </si>
  <si>
    <t>Deden Narumisan Sarizawa Kenang de pang brankas nan nung Sahroni</t>
  </si>
  <si>
    <t>2026-07-20 18:50:48</t>
  </si>
  <si>
    <t>Sahril Imran Kam e sita Leng Febri......</t>
  </si>
  <si>
    <t>2026-07-20 18:52:18</t>
  </si>
  <si>
    <t>Adi Chuwie</t>
  </si>
  <si>
    <t>Deden Narumisan Sarizawa tau kuliah kan kamo bau  nyoblos</t>
  </si>
  <si>
    <t>2026-07-20 19:36:55</t>
  </si>
  <si>
    <t>Adi Chuwie masuk akal....😄😄😄</t>
  </si>
  <si>
    <t>2026-07-20 20:25:13</t>
  </si>
  <si>
    <t>Neni Ambarak</t>
  </si>
  <si>
    <t>Maaf bertanya apa tujuan kartu kps ta.dn bagaimana cara mendapatkan nya 🙏</t>
  </si>
  <si>
    <t>https://web.facebook.com/share/p/1E4KsBA74z/</t>
  </si>
  <si>
    <t>2026-07-20 22:17:37</t>
  </si>
  <si>
    <t>Semaras.Sia</t>
  </si>
  <si>
    <t>Reda Wati</t>
  </si>
  <si>
    <t>Kriteria seperti apa yg dapat min</t>
  </si>
  <si>
    <t>2026-07-20 22:56:59</t>
  </si>
  <si>
    <t>Cinta Terlarang</t>
  </si>
  <si>
    <t>Paling kartu ini GK smua orang bisa dPat pasty di saring di pilih ..</t>
  </si>
  <si>
    <t>2026-07-20 23:19:19</t>
  </si>
  <si>
    <t>MarTina Soewarno</t>
  </si>
  <si>
    <t>Neni Ambarak lamen ndk ordal nos dpt jwbn kykx🤭🤭</t>
  </si>
  <si>
    <t>2026-07-21 06:09:52</t>
  </si>
  <si>
    <t>Ada Rizki  anak ku dapat kartu KSP.</t>
  </si>
  <si>
    <t>2026-07-21 08:22:22</t>
  </si>
  <si>
    <t>Ria Moreskin Nasa</t>
  </si>
  <si>
    <t>Smg tepat sasaran</t>
  </si>
  <si>
    <t>2026-07-21 08:56:36</t>
  </si>
  <si>
    <t>Aniek Khaerani</t>
  </si>
  <si>
    <t>Ratna Syafruddin melok cara tu dapat kartu nan ibu cantik?</t>
  </si>
  <si>
    <t>2026-07-21 09:11:05</t>
  </si>
  <si>
    <t>Aniek Khaerani nopoka to jelas bu ee. Nakena Bau tu kena. Ucapan adalah Doa.</t>
  </si>
  <si>
    <t>2026-07-21 10:58:51</t>
  </si>
  <si>
    <t>Yadhy</t>
  </si>
  <si>
    <t>Kemungkinan orang miskin gk dapat thu kartu...yang dapat orang2 yang bermobil aja</t>
  </si>
  <si>
    <t>2026-07-21 11:15:33</t>
  </si>
  <si>
    <t>Bula Bul</t>
  </si>
  <si>
    <t>Reda Wati yg berpengaruh🙏🏻</t>
  </si>
  <si>
    <t>2026-07-21 16:22:41</t>
  </si>
  <si>
    <t>Rahman Soud</t>
  </si>
  <si>
    <t>Khusus tau kuliah KPS ke?</t>
  </si>
  <si>
    <t>2026-07-21 18:18:46</t>
  </si>
  <si>
    <t>Sulhija Wati</t>
  </si>
  <si>
    <t>Semoga aku dpt</t>
  </si>
  <si>
    <t>2026-07-21 18:34:40</t>
  </si>
  <si>
    <t>Diah Kurnia</t>
  </si>
  <si>
    <t>apa ada kriteria utk yg bisa dpt kartu ini 🙏</t>
  </si>
  <si>
    <t>2026-07-21 20:48:11</t>
  </si>
  <si>
    <t>Yusril Mahendra</t>
  </si>
  <si>
    <t>Cara daftar kartu nan min?</t>
  </si>
  <si>
    <t>2026-07-22 09:01:52</t>
  </si>
  <si>
    <t>MarTina Soewarno nanmo Rua,,tau Ade y to" Leng nyanya mo Ade dpat 🤦</t>
  </si>
  <si>
    <t>2026-07-22 14:13:56</t>
  </si>
  <si>
    <t>Semoga siswa" Sumbawa bisa menjadi seperti Program tlh brjln.....</t>
  </si>
  <si>
    <t>https://web.facebook.com/share/p/17tjeersj7/</t>
  </si>
  <si>
    <t>2026-07-21 12:38:14</t>
  </si>
  <si>
    <t>Sumbawa Infoo</t>
  </si>
  <si>
    <t>Febi Fabri</t>
  </si>
  <si>
    <t>bagaimna cara daftarnya?</t>
  </si>
  <si>
    <t>2026-07-21 13:47:14</t>
  </si>
  <si>
    <t>Di daftar dlu apa gmna ini 🙏</t>
  </si>
  <si>
    <t>2026-07-21 14:29:42</t>
  </si>
  <si>
    <t>Lah. Masih berlaku main kartu sekarang?</t>
  </si>
  <si>
    <t>2026-07-21 15:03:59</t>
  </si>
  <si>
    <t>Yati</t>
  </si>
  <si>
    <t>Ada batasan usia ya???</t>
  </si>
  <si>
    <t>2026-07-21 15:37:34</t>
  </si>
  <si>
    <t>Marbot Masjid</t>
  </si>
  <si>
    <t>Apakah khusus kalangan sendiri?</t>
  </si>
  <si>
    <t>2026-07-21 16:39:57</t>
  </si>
  <si>
    <t>Alfin Febrian Jawaria</t>
  </si>
  <si>
    <t>kalo anak yang sekolah rakyat akan kebagian pak</t>
  </si>
  <si>
    <t>2026-07-21 17:27:30</t>
  </si>
  <si>
    <t>Semoga yg mengetik atau yg menulis nggak pakai kaca hitam atau kaca pembesar.
Ndi ujung² kelebihan no.NIK dan salah Nama
A berubah B.</t>
  </si>
  <si>
    <t>2026-07-21 18:17:01</t>
  </si>
  <si>
    <t>Saruji Uji</t>
  </si>
  <si>
    <t>Bagaimana cara daftarnya</t>
  </si>
  <si>
    <t>2026-07-21 18:41:55</t>
  </si>
  <si>
    <t>Bagaimana cara daftar,apa saja syarat mendapatkan kartu itu</t>
  </si>
  <si>
    <t>2026-07-21 19:40:54</t>
  </si>
  <si>
    <t>Danel Dino</t>
  </si>
  <si>
    <t>Bagaimana cara mendaftar</t>
  </si>
  <si>
    <t>2026-07-21 20:22:28</t>
  </si>
  <si>
    <t>Saleh Ibrahim</t>
  </si>
  <si>
    <t>Kartu KSB maju spe ibu hamil anak skola lansia smu kna</t>
  </si>
  <si>
    <t>2026-07-21 21:29:26</t>
  </si>
  <si>
    <t>Jamaluddinn M Sidik</t>
  </si>
  <si>
    <t>Cara mendaftanya</t>
  </si>
  <si>
    <t>Apa kriteria untuk bisa memiliki kartu sumbawa pintar tlng jelaskan bos,supaya kartu jangan salah sasaran</t>
  </si>
  <si>
    <t>2026-07-21 21:48:37</t>
  </si>
  <si>
    <t>Nurhidayati Subhi</t>
  </si>
  <si>
    <t>Prosedur untuk mendapatkannya gmna..?</t>
  </si>
  <si>
    <t>2026-07-21 22:16:28</t>
  </si>
  <si>
    <t>Nos bau yg ksb sumbawa tā ..āda de Kena āda de no..miris</t>
  </si>
  <si>
    <t>2026-07-21 22:38:26</t>
  </si>
  <si>
    <t>Jauhara</t>
  </si>
  <si>
    <t>Daftar nya bgm</t>
  </si>
  <si>
    <t>2026-07-21 22:59:40</t>
  </si>
  <si>
    <t>Fasya Rio</t>
  </si>
  <si>
    <t>Harus semuanya kenah sekarang,karna udah pendataan kita oke</t>
  </si>
  <si>
    <t>2026-07-21 23:52:44</t>
  </si>
  <si>
    <t>Jamaluddin Jaho</t>
  </si>
  <si>
    <t>Bagaimana cara pendaptaranya kartu KSP</t>
  </si>
  <si>
    <t>2026-07-22 01:13:33</t>
  </si>
  <si>
    <t>Nadira Darpani Ollshop</t>
  </si>
  <si>
    <t>Man serejok ate ,tau, ndi pilih pilih si de ya beang,</t>
  </si>
  <si>
    <t>2026-07-22 01:35:08</t>
  </si>
  <si>
    <t>Marbot Masjid pasti itu, contoh skrg anak SD di suruh urus kartu KIP sampai keluar , buat kartu itu 25 RB pr org, bayangkan kalau 100 org, udh brpa ngumpul uangx,  giliran udh keluar kartu KIP , di kenakan peraturan DiSEL , ntar di Disel itu ada yg di pilih ada yg kagak, sungguh</t>
  </si>
  <si>
    <t>2026-07-22 01:44:03</t>
  </si>
  <si>
    <t>Aiman Peratama Peratama</t>
  </si>
  <si>
    <t>Saleh Ibrahim hebat</t>
  </si>
  <si>
    <t>2026-07-22 05:34:07</t>
  </si>
  <si>
    <t>Yosar Taruna</t>
  </si>
  <si>
    <t>Nadira Darpani Ollshop utamakan keluarga dan pendukung</t>
  </si>
  <si>
    <t>2026-07-22 06:14:16</t>
  </si>
  <si>
    <t>Sahril</t>
  </si>
  <si>
    <t>Hanya orang dekat yang ngerti pengurusan untuk mendapatkan kartunya.</t>
  </si>
  <si>
    <t>2026-07-22 06:24:22</t>
  </si>
  <si>
    <t>Ddin Samawa</t>
  </si>
  <si>
    <t>Bagaimana cara pendaftaran mohon imformasinya</t>
  </si>
  <si>
    <t>2026-07-22 07:05:06</t>
  </si>
  <si>
    <t>Billya StreetFood</t>
  </si>
  <si>
    <t>Mohon Infoh nya bagaimana untuk mendapatkan KSP ???</t>
  </si>
  <si>
    <t>2026-07-22 07:24:15</t>
  </si>
  <si>
    <t>Ikhsan Saiful</t>
  </si>
  <si>
    <t>Me pang tu daftar dean</t>
  </si>
  <si>
    <t>2026-07-22 07:36:41</t>
  </si>
  <si>
    <t>MarioCell Samapuin</t>
  </si>
  <si>
    <t>Saleh Ibrahim semoga Sumbawa segera menyusul seperti itu</t>
  </si>
  <si>
    <t>2026-07-22 08:09:37</t>
  </si>
  <si>
    <t>Ifan Aj</t>
  </si>
  <si>
    <t>Di mana kita bisa daptar PK ketu tolong daptar nama saya Nuryadin kakiang b rt 10 RW 03 kecamatan moyo hilir kabupaten sumbawa besar ntb</t>
  </si>
  <si>
    <t>2026-07-22 08:50:48</t>
  </si>
  <si>
    <t>Serek Padu</t>
  </si>
  <si>
    <t>Giliran orang orang bertanya gimana cara mendaftar tidak ada jawabnya.dari sini sudah kelihatan</t>
  </si>
  <si>
    <t>2026-07-22 09:21:53</t>
  </si>
  <si>
    <t>Liya Sri Aliyansyah</t>
  </si>
  <si>
    <t>Harusnya KSP ini merata untuk semua pelajar di kabupaten Sumbawa dari Tk- mahasiswa
Dan InsyaAllah hasilnya akan terlihat 5 thn kedepan.</t>
  </si>
  <si>
    <t>2026-07-22 09:22:08</t>
  </si>
  <si>
    <t>Hanya untuk pelajar dan mahasiswa ?
Saya kira ada untuk lansia,untuk pelayan,untuk petani
Seperti KArtu KSB maju 
Semoga tepat sasaran</t>
  </si>
  <si>
    <t>2026-07-22 09:22:30</t>
  </si>
  <si>
    <t>Mustika Wati Ikoo</t>
  </si>
  <si>
    <t>Semoga tepat sasaran bagi yg betul2 membutuhkan</t>
  </si>
  <si>
    <t>2026-07-22 09:28:58</t>
  </si>
  <si>
    <t>Semoga dibagikan kpd yg bnr2 mmbutuhkan,tepat sasaran</t>
  </si>
  <si>
    <t>2026-07-22 09:38:54</t>
  </si>
  <si>
    <t>Hasidah Akhmad</t>
  </si>
  <si>
    <t>Kantor me pang tu urus kartu nan gina pakmohon penjelasan nya</t>
  </si>
  <si>
    <t>2026-07-22 10:17:54</t>
  </si>
  <si>
    <t>Supaya merata mahasiswa baru to ta</t>
  </si>
  <si>
    <t>2026-07-22 10:18:59</t>
  </si>
  <si>
    <t>Bang Ami</t>
  </si>
  <si>
    <t>Alhamdulillah dan kartu Sumbawa pintar bisa berjalan sebagaimana Yg diharapkan semua elemen masyarakat Sumbawa besar secara adil dan merata tentunya kedepannya,</t>
  </si>
  <si>
    <t>2026-07-22 11:14:27</t>
  </si>
  <si>
    <t>Bagus si bisa mmbantu anak2 skolah ,,tapi syg nya ...Biasa smua kartu yg kluar itu pasty di pilih2 orang nya GK smua dapat ,,,</t>
  </si>
  <si>
    <t>2026-07-22 11:39:40</t>
  </si>
  <si>
    <t>Hidayati Ida</t>
  </si>
  <si>
    <t>Semoga yg mndapat kartu ini betul2 tepat sasaran..jangan aji mumpung...</t>
  </si>
  <si>
    <t>2026-07-22 12:05:01</t>
  </si>
  <si>
    <t>Aisyah Amini</t>
  </si>
  <si>
    <t>Ma no Lo kartu so apa tau samawa sugiii slebe na nongka yam....</t>
  </si>
  <si>
    <t>2026-07-22 12:52:06</t>
  </si>
  <si>
    <t>Supardan</t>
  </si>
  <si>
    <t>Awal ikhtiar yg baik,  Insyaallah akan sama dgn KSB</t>
  </si>
  <si>
    <t>2026-07-22 13:07:15</t>
  </si>
  <si>
    <t>Rosdiana Diana</t>
  </si>
  <si>
    <t>Gimana cara daftarnya dan untuk kls brpa?</t>
  </si>
  <si>
    <t>2026-07-22 13:30:55</t>
  </si>
  <si>
    <t>Athy Aza</t>
  </si>
  <si>
    <t>Bagaimana cara daftar nya?</t>
  </si>
  <si>
    <t>2026-07-22 14:07:21</t>
  </si>
  <si>
    <t>Tu anti kartu nan Pk Bup</t>
  </si>
  <si>
    <t>2026-07-22 14:34:18</t>
  </si>
  <si>
    <t>Sesa AI Pasha</t>
  </si>
  <si>
    <t>Gimana tu carannya</t>
  </si>
  <si>
    <t>2026-07-22 14:40:12</t>
  </si>
  <si>
    <t>Siti Adaa</t>
  </si>
  <si>
    <t>Dimana daftar x bos mohon Impo x</t>
  </si>
  <si>
    <t>2026-07-22 14:45:50</t>
  </si>
  <si>
    <t>Mas Gemala</t>
  </si>
  <si>
    <t>sy mau daftar untuk anak saya</t>
  </si>
  <si>
    <t>2026-07-22 16:31:39</t>
  </si>
  <si>
    <t>Dara Samawa</t>
  </si>
  <si>
    <t>Cara daftar nya bgm?</t>
  </si>
  <si>
    <t>2026-07-22 17:16:27</t>
  </si>
  <si>
    <t>Sy ikut juga pendaftaran nya</t>
  </si>
  <si>
    <t>2026-07-22 18:21:18</t>
  </si>
  <si>
    <t>Hasidah Akhmad untuk sementara nopoda jawabanna 😀😀</t>
  </si>
  <si>
    <t>2026-07-22 18:43:41</t>
  </si>
  <si>
    <t>Ikhsan Saiful manmo buya dunu apa parak mo boe kuotanya 😀😀 InsyaAllah ten mudi buka kbali</t>
  </si>
  <si>
    <t>2026-07-22 18:46:54</t>
  </si>
  <si>
    <t>Siti Minawada Wanda</t>
  </si>
  <si>
    <t>2026-07-22 20:11:21</t>
  </si>
  <si>
    <t>Willy Akhyar kuda Bua nan Luk,no bau beli pang konter ke kuota</t>
  </si>
  <si>
    <t>2026-07-22 21:47:44</t>
  </si>
  <si>
    <t>Ikhsan Saiful trang bausi😃😃</t>
  </si>
  <si>
    <t>2026-07-22 22:00:57</t>
  </si>
  <si>
    <t>Ikhsan Saiful penomo pertanyaan serupa tapi no bau ya jawab leng baeng status trang ktaket peno tau sate daftar</t>
  </si>
  <si>
    <t>2026-07-22 22:03:12</t>
  </si>
  <si>
    <t>Bongkar Anarkhi</t>
  </si>
  <si>
    <t>Mantap pak Syarafuddin Jarot  👍👍👍</t>
  </si>
  <si>
    <t>2026-07-22 22:15:13</t>
  </si>
  <si>
    <t>Sehat selalu bupati ku</t>
  </si>
  <si>
    <t>2026-07-23 00:45:21</t>
  </si>
  <si>
    <t>Harjo</t>
  </si>
  <si>
    <t>Semoga bermanfaat merata dan amanah</t>
  </si>
  <si>
    <t>2026-07-23 05:41:49</t>
  </si>
  <si>
    <t>Fitriah Said</t>
  </si>
  <si>
    <t>Luar biasa pak bupati Syarafuddin Jarot👍👍👍</t>
  </si>
  <si>
    <t>2026-07-23 07:13:58</t>
  </si>
  <si>
    <t>Eni Kusmawati</t>
  </si>
  <si>
    <t>Semoga anak saya bisa mendapatkan kartu PIP.persyaratannya apa</t>
  </si>
  <si>
    <t>2026-07-23 11:31:53</t>
  </si>
  <si>
    <t>Andien Ziren</t>
  </si>
  <si>
    <t>Apa berlaku untuk  semua plajar</t>
  </si>
  <si>
    <t>2026-07-23 12:03:13</t>
  </si>
  <si>
    <t>Suryani Jafar</t>
  </si>
  <si>
    <t>Semoga kenak anak anakku</t>
  </si>
  <si>
    <t>2026-07-23 12:31:22</t>
  </si>
  <si>
    <t>Cendruang Sumbawa</t>
  </si>
  <si>
    <t>Okey</t>
  </si>
  <si>
    <t>2026-07-23 12:39:53</t>
  </si>
  <si>
    <t>Bagaimana jalan dr langam ke pungkit... Semoga.  Semoga  dapat tertangani</t>
  </si>
  <si>
    <t>2026-07-23 12:41:15</t>
  </si>
  <si>
    <t>Mms</t>
  </si>
  <si>
    <t>No si tu to pg Daftar apa deta..apa lok tu puji2 bae si ke?
Hebat.
Tapi pertanyaan tak ada jawaban.Bikin bingung.</t>
  </si>
  <si>
    <t>2026-07-23 12:48:54</t>
  </si>
  <si>
    <t>Jhodi Jho</t>
  </si>
  <si>
    <t>Gimana cara daptar nya</t>
  </si>
  <si>
    <t>2026-07-23 13:16:20</t>
  </si>
  <si>
    <t>Sahab Nur</t>
  </si>
  <si>
    <t>Me lok cara na pak</t>
  </si>
  <si>
    <t>2026-07-23 13:27:24</t>
  </si>
  <si>
    <t>Dewi Puspita Wati</t>
  </si>
  <si>
    <t>2026-07-23 18:55:21</t>
  </si>
  <si>
    <t>Paling dekena grub nya Bae sii</t>
  </si>
  <si>
    <t>2026-07-23 18:57:11</t>
  </si>
  <si>
    <t>Reyza Indra Wijaya</t>
  </si>
  <si>
    <t>Gimana cara daftarnya</t>
  </si>
  <si>
    <t>2026-07-24 08:31:39</t>
  </si>
  <si>
    <t>Denis Utan Sbw</t>
  </si>
  <si>
    <t>Tak ada sosialisasi yg lengkap bgm siswa mendapatkan nya. Hnya informasi telah terbit. Kacau instansi informasi Sumbawa</t>
  </si>
  <si>
    <t>2026-07-25 05:00:50</t>
  </si>
  <si>
    <t>Amir Rasate</t>
  </si>
  <si>
    <t>Mantap pak..yg msh kita tunggu lapangan kerja...</t>
  </si>
  <si>
    <t>2026-07-26 23:08:18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</si>
</sst>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b/>
      <sz val="14"/>
      <color rgb="FF2F5496"/>
      <name val="Arial"/>
      <charset val="1"/>
    </font>
    <font>
      <sz val="10"/>
      <name val="Arial"/>
      <charset val="1"/>
    </font>
    <font>
      <b/>
      <sz val="12"/>
      <name val="Arial"/>
      <charset val="1"/>
    </font>
    <font>
      <b/>
      <sz val="11"/>
      <color rgb="FFFFFFFF"/>
      <name val="Arial"/>
      <charset val="1"/>
    </font>
    <font>
      <b/>
      <sz val="12"/>
      <name val="Calibri"/>
      <charset val="1"/>
    </font>
    <font>
      <sz val="11"/>
      <name val="Calibri"/>
      <charset val="1"/>
    </font>
    <font>
      <b/>
      <sz val="11"/>
      <name val="Calibri"/>
      <charset val="1"/>
    </font>
    <font>
      <i/>
      <sz val="10"/>
      <name val="Calibri"/>
      <charset val="1"/>
    </font>
    <font>
      <b/>
      <sz val="10"/>
      <color rgb="FFFFFFFF"/>
      <name val="Arial"/>
      <charset val="1"/>
    </font>
  </fonts>
  <fills count="6">
    <fill>
      <patternFill patternType="none"/>
    </fill>
    <fill>
      <patternFill patternType="gray125"/>
    </fill>
    <fill>
      <patternFill patternType="solid">
        <fgColor rgb="FF2F5496"/>
        <bgColor rgb="FF1F4E78"/>
      </patternFill>
    </fill>
    <fill>
      <patternFill patternType="solid">
        <fgColor rgb="FF1F4E78"/>
        <bgColor rgb="FF2F5496"/>
      </patternFill>
    </fill>
    <fill>
      <patternFill patternType="solid">
        <fgColor theme="0"/>
        <bgColor rgb="FF2F5496"/>
      </patternFill>
    </fill>
    <fill>
      <patternFill patternType="solid">
        <fgColor theme="0"/>
        <bgColor indexed="64"/>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7">
    <xf numFmtId="0" fontId="0" fillId="0" borderId="0" xfId="0"/>
    <xf numFmtId="0" fontId="2" fillId="0" borderId="0" xfId="0" applyFont="1" applyAlignment="1">
      <alignment vertical="top" wrapText="1"/>
    </xf>
    <xf numFmtId="0" fontId="1" fillId="0" borderId="0" xfId="0" applyFont="1"/>
    <xf numFmtId="0" fontId="2" fillId="0" borderId="0" xfId="0" applyFont="1" applyAlignment="1">
      <alignment vertical="top" wrapText="1"/>
    </xf>
    <xf numFmtId="0" fontId="3" fillId="0" borderId="0" xfId="0" applyFont="1"/>
    <xf numFmtId="0" fontId="4" fillId="2" borderId="1" xfId="0" applyFont="1" applyFill="1" applyBorder="1" applyAlignment="1">
      <alignment horizontal="center" vertical="center" wrapText="1"/>
    </xf>
    <xf numFmtId="0" fontId="2" fillId="0" borderId="1" xfId="0" applyFont="1" applyBorder="1" applyAlignment="1">
      <alignment vertical="top" wrapText="1"/>
    </xf>
    <xf numFmtId="0" fontId="5" fillId="0" borderId="0" xfId="0" applyFont="1"/>
    <xf numFmtId="0" fontId="6" fillId="0" borderId="0" xfId="0" applyFont="1"/>
    <xf numFmtId="0" fontId="7" fillId="0" borderId="0" xfId="0" applyFont="1"/>
    <xf numFmtId="164" fontId="7" fillId="0" borderId="0" xfId="0" applyNumberFormat="1" applyFont="1"/>
    <xf numFmtId="0" fontId="8" fillId="0" borderId="0" xfId="0" applyFont="1" applyAlignment="1">
      <alignment wrapText="1"/>
    </xf>
    <xf numFmtId="0" fontId="9" fillId="3" borderId="0" xfId="0" applyFont="1" applyFill="1" applyAlignment="1">
      <alignment horizontal="center" vertical="center" wrapText="1"/>
    </xf>
    <xf numFmtId="0" fontId="2" fillId="0" borderId="0" xfId="0" applyFont="1"/>
    <xf numFmtId="0" fontId="9" fillId="4" borderId="0" xfId="0" applyFont="1" applyFill="1" applyAlignment="1">
      <alignment horizontal="center" vertical="center" wrapText="1"/>
    </xf>
    <xf numFmtId="0" fontId="2" fillId="5" borderId="0" xfId="0" applyFont="1" applyFill="1"/>
    <xf numFmtId="0" fontId="0" fillId="5" borderId="0" xfId="0" applyFill="1"/>
  </cellXfs>
  <cellStyles count="1">
    <cellStyle name="Normal" xfId="0" builtinId="0"/>
  </cellStyles>
  <dxfs count="3">
    <dxf>
      <fill>
        <patternFill>
          <bgColor rgb="FFFFF2CC"/>
        </patternFill>
      </fill>
    </dxf>
    <dxf>
      <fill>
        <patternFill>
          <bgColor rgb="FFC6E0B4"/>
        </patternFill>
      </fill>
    </dxf>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2F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6"/>
  <sheetViews>
    <sheetView showGridLines="0" topLeftCell="A17" zoomScale="70" zoomScaleNormal="70" workbookViewId="0">
      <selection activeCell="E22" sqref="E22"/>
    </sheetView>
  </sheetViews>
  <sheetFormatPr defaultColWidth="8.6328125" defaultRowHeight="14.5" x14ac:dyDescent="0.35"/>
  <cols>
    <col min="1" max="1" width="55" customWidth="1"/>
    <col min="2" max="3" width="12" customWidth="1"/>
    <col min="4" max="4" width="35" customWidth="1"/>
  </cols>
  <sheetData>
    <row r="1" spans="1:4" ht="18" customHeight="1" x14ac:dyDescent="0.4">
      <c r="A1" s="2" t="s">
        <v>0</v>
      </c>
      <c r="B1" s="2"/>
      <c r="C1" s="2"/>
      <c r="D1" s="2"/>
    </row>
    <row r="3" spans="1:4" ht="45" customHeight="1" x14ac:dyDescent="0.35">
      <c r="A3" s="1" t="s">
        <v>1</v>
      </c>
      <c r="B3" s="1"/>
      <c r="C3" s="1"/>
      <c r="D3" s="1"/>
    </row>
    <row r="5" spans="1:4" ht="54.75" customHeight="1" x14ac:dyDescent="0.35">
      <c r="A5" s="1" t="s">
        <v>2</v>
      </c>
      <c r="B5" s="1"/>
      <c r="C5" s="1"/>
      <c r="D5" s="1"/>
    </row>
    <row r="7" spans="1:4" ht="15" customHeight="1" x14ac:dyDescent="0.35">
      <c r="A7" s="4" t="s">
        <v>3</v>
      </c>
    </row>
    <row r="8" spans="1:4" ht="28" x14ac:dyDescent="0.35">
      <c r="A8" s="5" t="s">
        <v>4</v>
      </c>
      <c r="B8" s="5" t="s">
        <v>5</v>
      </c>
      <c r="C8" s="5" t="s">
        <v>6</v>
      </c>
      <c r="D8" s="5" t="s">
        <v>7</v>
      </c>
    </row>
    <row r="9" spans="1:4" ht="45" customHeight="1" x14ac:dyDescent="0.35">
      <c r="A9" s="6" t="s">
        <v>8</v>
      </c>
      <c r="B9" s="6" t="s">
        <v>9</v>
      </c>
      <c r="C9" s="6" t="s">
        <v>10</v>
      </c>
      <c r="D9" s="6" t="s">
        <v>11</v>
      </c>
    </row>
    <row r="10" spans="1:4" ht="45" customHeight="1" x14ac:dyDescent="0.35">
      <c r="A10" s="6" t="s">
        <v>12</v>
      </c>
      <c r="B10" s="6" t="s">
        <v>13</v>
      </c>
      <c r="C10" s="6" t="s">
        <v>14</v>
      </c>
      <c r="D10" s="6" t="s">
        <v>15</v>
      </c>
    </row>
    <row r="11" spans="1:4" ht="45" customHeight="1" x14ac:dyDescent="0.35">
      <c r="A11" s="6" t="s">
        <v>16</v>
      </c>
      <c r="B11" s="6" t="s">
        <v>17</v>
      </c>
      <c r="C11" s="6" t="s">
        <v>18</v>
      </c>
      <c r="D11" s="6" t="s">
        <v>19</v>
      </c>
    </row>
    <row r="12" spans="1:4" ht="45" customHeight="1" x14ac:dyDescent="0.35">
      <c r="A12" s="6" t="s">
        <v>20</v>
      </c>
      <c r="B12" s="6" t="s">
        <v>21</v>
      </c>
      <c r="C12" s="6" t="s">
        <v>22</v>
      </c>
      <c r="D12" s="6" t="s">
        <v>23</v>
      </c>
    </row>
    <row r="13" spans="1:4" ht="45" customHeight="1" x14ac:dyDescent="0.35">
      <c r="A13" s="6" t="s">
        <v>24</v>
      </c>
      <c r="B13" s="6" t="s">
        <v>25</v>
      </c>
      <c r="C13" s="6" t="s">
        <v>26</v>
      </c>
      <c r="D13" s="6" t="s">
        <v>27</v>
      </c>
    </row>
    <row r="14" spans="1:4" ht="45" customHeight="1" x14ac:dyDescent="0.35">
      <c r="A14" s="6" t="s">
        <v>28</v>
      </c>
      <c r="B14" s="6" t="s">
        <v>29</v>
      </c>
      <c r="C14" s="6" t="s">
        <v>30</v>
      </c>
      <c r="D14" s="6" t="s">
        <v>31</v>
      </c>
    </row>
    <row r="15" spans="1:4" ht="45" customHeight="1" x14ac:dyDescent="0.35">
      <c r="A15" s="6" t="s">
        <v>32</v>
      </c>
      <c r="B15" s="6" t="s">
        <v>33</v>
      </c>
      <c r="C15" s="6" t="s">
        <v>34</v>
      </c>
      <c r="D15" s="6" t="s">
        <v>35</v>
      </c>
    </row>
    <row r="16" spans="1:4" ht="45" customHeight="1" x14ac:dyDescent="0.35">
      <c r="A16" s="6" t="s">
        <v>36</v>
      </c>
      <c r="B16" s="6" t="s">
        <v>37</v>
      </c>
      <c r="C16" s="6" t="s">
        <v>38</v>
      </c>
      <c r="D16" s="6" t="s">
        <v>39</v>
      </c>
    </row>
    <row r="19" spans="1:4" ht="15" customHeight="1" x14ac:dyDescent="0.35">
      <c r="A19" s="4" t="s">
        <v>40</v>
      </c>
    </row>
    <row r="20" spans="1:4" x14ac:dyDescent="0.35">
      <c r="A20" s="5" t="s">
        <v>41</v>
      </c>
      <c r="B20" s="5" t="s">
        <v>5</v>
      </c>
      <c r="C20" s="5" t="s">
        <v>42</v>
      </c>
    </row>
    <row r="21" spans="1:4" ht="34.5" customHeight="1" x14ac:dyDescent="0.35">
      <c r="A21" s="6" t="s">
        <v>43</v>
      </c>
      <c r="B21" s="6" t="s">
        <v>44</v>
      </c>
      <c r="C21" s="6" t="s">
        <v>45</v>
      </c>
    </row>
    <row r="22" spans="1:4" ht="34.5" customHeight="1" x14ac:dyDescent="0.35">
      <c r="A22" s="6" t="s">
        <v>46</v>
      </c>
      <c r="B22" s="6" t="s">
        <v>47</v>
      </c>
      <c r="C22" s="6" t="s">
        <v>48</v>
      </c>
    </row>
    <row r="23" spans="1:4" ht="34.5" customHeight="1" x14ac:dyDescent="0.35">
      <c r="A23" s="6" t="s">
        <v>49</v>
      </c>
      <c r="B23" s="6" t="s">
        <v>50</v>
      </c>
      <c r="C23" s="6" t="s">
        <v>51</v>
      </c>
    </row>
    <row r="26" spans="1:4" ht="15" customHeight="1" x14ac:dyDescent="0.35">
      <c r="A26" s="4" t="s">
        <v>52</v>
      </c>
    </row>
    <row r="27" spans="1:4" ht="54.75" customHeight="1" x14ac:dyDescent="0.35">
      <c r="A27" s="1" t="s">
        <v>53</v>
      </c>
      <c r="B27" s="1"/>
      <c r="C27" s="1"/>
      <c r="D27" s="1"/>
    </row>
    <row r="29" spans="1:4" ht="15.5" x14ac:dyDescent="0.35">
      <c r="A29" s="7" t="s">
        <v>54</v>
      </c>
    </row>
    <row r="30" spans="1:4" x14ac:dyDescent="0.35">
      <c r="A30" s="8" t="s">
        <v>55</v>
      </c>
      <c r="B30" s="9">
        <f>COUNTA('Data Komentar'!A2:A474)</f>
        <v>473</v>
      </c>
    </row>
    <row r="31" spans="1:4" x14ac:dyDescent="0.35">
      <c r="A31" s="8" t="s">
        <v>56</v>
      </c>
      <c r="B31" s="9">
        <f>COUNTA('Data Komentar'!L2:L474)</f>
        <v>473</v>
      </c>
    </row>
    <row r="32" spans="1:4" x14ac:dyDescent="0.35">
      <c r="A32" s="8" t="s">
        <v>57</v>
      </c>
      <c r="B32" s="9">
        <f>B30-B31</f>
        <v>0</v>
      </c>
    </row>
    <row r="33" spans="1:2" x14ac:dyDescent="0.35">
      <c r="A33" s="8" t="s">
        <v>58</v>
      </c>
      <c r="B33" s="10">
        <f>IF(B30=0,0,B31/B30)</f>
        <v>1</v>
      </c>
    </row>
    <row r="34" spans="1:2" x14ac:dyDescent="0.35">
      <c r="A34" s="8" t="s">
        <v>59</v>
      </c>
      <c r="B34" s="9" t="e">
        <f>SUMPRODUCT((('Data Komentar'!#REF!="Perlu Ditinjau Manual")*('Data Komentar'!$L2:$L474=""))*1)</f>
        <v>#REF!</v>
      </c>
    </row>
    <row r="36" spans="1:2" ht="52.5" x14ac:dyDescent="0.35">
      <c r="A36" s="11" t="s">
        <v>60</v>
      </c>
    </row>
  </sheetData>
  <mergeCells count="4">
    <mergeCell ref="A1:D1"/>
    <mergeCell ref="A3:D3"/>
    <mergeCell ref="A5:D5"/>
    <mergeCell ref="A27:D2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74"/>
  <sheetViews>
    <sheetView tabSelected="1" topLeftCell="E1" zoomScale="84" zoomScaleNormal="100" workbookViewId="0">
      <pane ySplit="1" topLeftCell="A457" activePane="bottomLeft" state="frozen"/>
      <selection pane="bottomLeft" activeCell="L475" sqref="L475"/>
    </sheetView>
  </sheetViews>
  <sheetFormatPr defaultColWidth="8.6328125" defaultRowHeight="14.5" x14ac:dyDescent="0.35"/>
  <cols>
    <col min="1" max="1" width="11.1796875" bestFit="1" customWidth="1"/>
    <col min="2" max="2" width="15.90625" bestFit="1" customWidth="1"/>
    <col min="3" max="3" width="19.36328125" bestFit="1" customWidth="1"/>
    <col min="4" max="4" width="4.453125" customWidth="1"/>
    <col min="5" max="5" width="96.6328125" bestFit="1" customWidth="1"/>
    <col min="6" max="6" width="6.7265625" customWidth="1"/>
    <col min="7" max="7" width="15.90625" bestFit="1" customWidth="1"/>
    <col min="8" max="8" width="5.7265625" customWidth="1"/>
    <col min="9" max="9" width="5.6328125" customWidth="1"/>
    <col min="10" max="10" width="10.08984375" customWidth="1"/>
    <col min="11" max="11" width="9.08984375" customWidth="1"/>
    <col min="12" max="12" width="20.6328125" style="16" customWidth="1"/>
    <col min="13" max="13" width="17.36328125" style="16" bestFit="1" customWidth="1"/>
    <col min="14" max="14" width="21.7265625" bestFit="1" customWidth="1"/>
  </cols>
  <sheetData>
    <row r="1" spans="1:14" x14ac:dyDescent="0.35">
      <c r="A1" s="12" t="s">
        <v>61</v>
      </c>
      <c r="B1" s="12" t="s">
        <v>62</v>
      </c>
      <c r="C1" s="12" t="s">
        <v>63</v>
      </c>
      <c r="D1" s="12" t="s">
        <v>64</v>
      </c>
      <c r="E1" s="12" t="s">
        <v>65</v>
      </c>
      <c r="F1" s="12" t="s">
        <v>66</v>
      </c>
      <c r="G1" s="12" t="s">
        <v>67</v>
      </c>
      <c r="H1" s="12" t="s">
        <v>68</v>
      </c>
      <c r="I1" s="12" t="s">
        <v>69</v>
      </c>
      <c r="J1" s="12" t="s">
        <v>70</v>
      </c>
      <c r="K1" s="12" t="s">
        <v>71</v>
      </c>
      <c r="L1" s="14" t="s">
        <v>72</v>
      </c>
      <c r="M1" s="14" t="s">
        <v>73</v>
      </c>
      <c r="N1" s="12" t="s">
        <v>74</v>
      </c>
    </row>
    <row r="2" spans="1:14" ht="25" x14ac:dyDescent="0.35">
      <c r="A2" s="13">
        <v>1</v>
      </c>
      <c r="B2" s="13" t="s">
        <v>75</v>
      </c>
      <c r="C2" s="13" t="s">
        <v>76</v>
      </c>
      <c r="D2" s="13" t="s">
        <v>77</v>
      </c>
      <c r="E2" s="3" t="s">
        <v>78</v>
      </c>
      <c r="F2" s="13" t="s">
        <v>79</v>
      </c>
      <c r="G2" s="13" t="s">
        <v>80</v>
      </c>
      <c r="H2" s="13">
        <v>0</v>
      </c>
      <c r="I2" s="13">
        <v>1</v>
      </c>
      <c r="J2" s="13" t="s">
        <v>81</v>
      </c>
      <c r="K2" s="13" t="s">
        <v>82</v>
      </c>
      <c r="L2" s="15" t="s">
        <v>12</v>
      </c>
      <c r="M2" s="15" t="s">
        <v>43</v>
      </c>
      <c r="N2" s="3"/>
    </row>
    <row r="3" spans="1:14" x14ac:dyDescent="0.35">
      <c r="A3" s="13">
        <v>2</v>
      </c>
      <c r="B3" s="13" t="s">
        <v>75</v>
      </c>
      <c r="C3" s="13" t="s">
        <v>76</v>
      </c>
      <c r="D3" s="13" t="s">
        <v>82</v>
      </c>
      <c r="E3" s="3" t="s">
        <v>83</v>
      </c>
      <c r="F3" s="13" t="s">
        <v>79</v>
      </c>
      <c r="G3" s="13" t="s">
        <v>84</v>
      </c>
      <c r="H3" s="13">
        <v>0</v>
      </c>
      <c r="I3" s="13">
        <v>0</v>
      </c>
      <c r="J3" s="13" t="s">
        <v>85</v>
      </c>
      <c r="K3" s="13" t="s">
        <v>82</v>
      </c>
      <c r="L3" s="15" t="s">
        <v>12</v>
      </c>
      <c r="M3" s="15" t="s">
        <v>43</v>
      </c>
      <c r="N3" s="3"/>
    </row>
    <row r="4" spans="1:14" x14ac:dyDescent="0.35">
      <c r="A4" s="13">
        <v>3</v>
      </c>
      <c r="B4" s="13" t="s">
        <v>86</v>
      </c>
      <c r="C4" s="13" t="s">
        <v>76</v>
      </c>
      <c r="D4" s="13" t="s">
        <v>87</v>
      </c>
      <c r="E4" s="3" t="s">
        <v>88</v>
      </c>
      <c r="F4" s="13" t="s">
        <v>79</v>
      </c>
      <c r="G4" s="13" t="s">
        <v>80</v>
      </c>
      <c r="H4" s="13">
        <v>0</v>
      </c>
      <c r="I4" s="13">
        <v>0</v>
      </c>
      <c r="J4" s="13" t="s">
        <v>89</v>
      </c>
      <c r="K4" s="13" t="s">
        <v>82</v>
      </c>
      <c r="L4" s="15" t="s">
        <v>12</v>
      </c>
      <c r="M4" s="15" t="s">
        <v>43</v>
      </c>
      <c r="N4" s="3"/>
    </row>
    <row r="5" spans="1:14" x14ac:dyDescent="0.35">
      <c r="A5" s="13">
        <v>4</v>
      </c>
      <c r="B5" s="13" t="s">
        <v>86</v>
      </c>
      <c r="C5" s="13" t="s">
        <v>76</v>
      </c>
      <c r="D5" s="13" t="s">
        <v>90</v>
      </c>
      <c r="E5" s="3" t="s">
        <v>91</v>
      </c>
      <c r="F5" s="13" t="s">
        <v>79</v>
      </c>
      <c r="G5" s="13" t="s">
        <v>80</v>
      </c>
      <c r="H5" s="13">
        <v>0</v>
      </c>
      <c r="I5" s="13">
        <v>0</v>
      </c>
      <c r="J5" s="13" t="s">
        <v>92</v>
      </c>
      <c r="K5" s="13" t="s">
        <v>82</v>
      </c>
      <c r="L5" s="15" t="s">
        <v>12</v>
      </c>
      <c r="M5" s="15" t="s">
        <v>49</v>
      </c>
      <c r="N5" s="3"/>
    </row>
    <row r="6" spans="1:14" ht="25" x14ac:dyDescent="0.35">
      <c r="A6" s="13">
        <v>5</v>
      </c>
      <c r="B6" s="13" t="s">
        <v>86</v>
      </c>
      <c r="C6" s="13" t="s">
        <v>76</v>
      </c>
      <c r="D6" s="13" t="s">
        <v>93</v>
      </c>
      <c r="E6" s="3" t="s">
        <v>94</v>
      </c>
      <c r="F6" s="13" t="s">
        <v>79</v>
      </c>
      <c r="G6" s="13" t="s">
        <v>80</v>
      </c>
      <c r="H6" s="13">
        <v>0</v>
      </c>
      <c r="I6" s="13">
        <v>2</v>
      </c>
      <c r="J6" s="13" t="s">
        <v>95</v>
      </c>
      <c r="K6" s="13" t="s">
        <v>82</v>
      </c>
      <c r="L6" s="15" t="s">
        <v>32</v>
      </c>
      <c r="M6" s="15" t="s">
        <v>49</v>
      </c>
      <c r="N6" s="3"/>
    </row>
    <row r="7" spans="1:14" x14ac:dyDescent="0.35">
      <c r="A7" s="13">
        <v>6</v>
      </c>
      <c r="B7" s="13" t="s">
        <v>86</v>
      </c>
      <c r="C7" s="13" t="s">
        <v>76</v>
      </c>
      <c r="D7" s="13" t="s">
        <v>82</v>
      </c>
      <c r="E7" s="3" t="s">
        <v>96</v>
      </c>
      <c r="F7" s="13" t="s">
        <v>79</v>
      </c>
      <c r="G7" s="13" t="s">
        <v>84</v>
      </c>
      <c r="H7" s="13">
        <v>0</v>
      </c>
      <c r="I7" s="13">
        <v>0</v>
      </c>
      <c r="J7" s="13" t="s">
        <v>97</v>
      </c>
      <c r="K7" s="13" t="s">
        <v>82</v>
      </c>
      <c r="L7" s="15" t="s">
        <v>12</v>
      </c>
      <c r="M7" s="15" t="s">
        <v>43</v>
      </c>
      <c r="N7" s="3"/>
    </row>
    <row r="8" spans="1:14" ht="25" x14ac:dyDescent="0.35">
      <c r="A8" s="13">
        <v>7</v>
      </c>
      <c r="B8" s="13" t="s">
        <v>86</v>
      </c>
      <c r="C8" s="13" t="s">
        <v>76</v>
      </c>
      <c r="D8" s="13" t="s">
        <v>77</v>
      </c>
      <c r="E8" s="3" t="s">
        <v>98</v>
      </c>
      <c r="F8" s="13" t="s">
        <v>79</v>
      </c>
      <c r="G8" s="13" t="s">
        <v>84</v>
      </c>
      <c r="H8" s="13">
        <v>0</v>
      </c>
      <c r="I8" s="13">
        <v>0</v>
      </c>
      <c r="J8" s="13" t="s">
        <v>99</v>
      </c>
      <c r="K8" s="13" t="s">
        <v>82</v>
      </c>
      <c r="L8" s="15" t="s">
        <v>12</v>
      </c>
      <c r="M8" s="15" t="s">
        <v>43</v>
      </c>
      <c r="N8" s="3"/>
    </row>
    <row r="9" spans="1:14" ht="25" x14ac:dyDescent="0.35">
      <c r="A9" s="13">
        <v>8</v>
      </c>
      <c r="B9" s="13" t="s">
        <v>75</v>
      </c>
      <c r="C9" s="13" t="s">
        <v>76</v>
      </c>
      <c r="D9" s="13" t="s">
        <v>100</v>
      </c>
      <c r="E9" s="3" t="s">
        <v>101</v>
      </c>
      <c r="F9" s="13" t="s">
        <v>102</v>
      </c>
      <c r="G9" s="13" t="s">
        <v>80</v>
      </c>
      <c r="H9" s="13">
        <v>1</v>
      </c>
      <c r="I9" s="13">
        <v>1</v>
      </c>
      <c r="J9" s="13" t="s">
        <v>103</v>
      </c>
      <c r="K9" s="13" t="s">
        <v>104</v>
      </c>
      <c r="L9" s="15" t="s">
        <v>32</v>
      </c>
      <c r="M9" s="15" t="s">
        <v>49</v>
      </c>
      <c r="N9" s="3"/>
    </row>
    <row r="10" spans="1:14" x14ac:dyDescent="0.35">
      <c r="A10" s="13">
        <v>9</v>
      </c>
      <c r="B10" s="13" t="s">
        <v>75</v>
      </c>
      <c r="C10" s="13" t="s">
        <v>76</v>
      </c>
      <c r="D10" s="13" t="s">
        <v>104</v>
      </c>
      <c r="E10" s="3" t="s">
        <v>105</v>
      </c>
      <c r="F10" s="13" t="s">
        <v>102</v>
      </c>
      <c r="G10" s="13" t="s">
        <v>84</v>
      </c>
      <c r="H10" s="13">
        <v>0</v>
      </c>
      <c r="I10" s="13">
        <v>0</v>
      </c>
      <c r="J10" s="13" t="s">
        <v>106</v>
      </c>
      <c r="K10" s="13" t="s">
        <v>104</v>
      </c>
      <c r="L10" s="15" t="s">
        <v>32</v>
      </c>
      <c r="M10" s="15" t="s">
        <v>49</v>
      </c>
      <c r="N10" s="3"/>
    </row>
    <row r="11" spans="1:14" x14ac:dyDescent="0.35">
      <c r="A11" s="13">
        <v>10</v>
      </c>
      <c r="B11" s="13" t="s">
        <v>75</v>
      </c>
      <c r="C11" s="13" t="s">
        <v>76</v>
      </c>
      <c r="D11" s="13" t="s">
        <v>104</v>
      </c>
      <c r="E11" s="3" t="s">
        <v>107</v>
      </c>
      <c r="F11" s="13" t="s">
        <v>102</v>
      </c>
      <c r="G11" s="13" t="s">
        <v>84</v>
      </c>
      <c r="H11" s="13">
        <v>0</v>
      </c>
      <c r="I11" s="13">
        <v>0</v>
      </c>
      <c r="J11" s="13" t="s">
        <v>108</v>
      </c>
      <c r="K11" s="13" t="s">
        <v>104</v>
      </c>
      <c r="L11" s="15" t="s">
        <v>32</v>
      </c>
      <c r="M11" s="15" t="s">
        <v>49</v>
      </c>
      <c r="N11" s="3"/>
    </row>
    <row r="12" spans="1:14" x14ac:dyDescent="0.35">
      <c r="A12" s="13">
        <v>11</v>
      </c>
      <c r="B12" s="13" t="s">
        <v>86</v>
      </c>
      <c r="C12" s="13" t="s">
        <v>76</v>
      </c>
      <c r="D12" s="13" t="s">
        <v>109</v>
      </c>
      <c r="E12" s="3" t="s">
        <v>110</v>
      </c>
      <c r="F12" s="13" t="s">
        <v>102</v>
      </c>
      <c r="G12" s="13" t="s">
        <v>80</v>
      </c>
      <c r="H12" s="13">
        <v>0</v>
      </c>
      <c r="I12" s="13">
        <v>0</v>
      </c>
      <c r="J12" s="13" t="s">
        <v>111</v>
      </c>
      <c r="K12" s="13" t="s">
        <v>104</v>
      </c>
      <c r="L12" s="15" t="s">
        <v>12</v>
      </c>
      <c r="M12" s="15" t="s">
        <v>49</v>
      </c>
      <c r="N12" s="3"/>
    </row>
    <row r="13" spans="1:14" x14ac:dyDescent="0.35">
      <c r="A13" s="13">
        <v>12</v>
      </c>
      <c r="B13" s="13" t="s">
        <v>86</v>
      </c>
      <c r="C13" s="13" t="s">
        <v>76</v>
      </c>
      <c r="D13" s="13" t="s">
        <v>112</v>
      </c>
      <c r="E13" s="3" t="s">
        <v>113</v>
      </c>
      <c r="F13" s="13" t="s">
        <v>102</v>
      </c>
      <c r="G13" s="13" t="s">
        <v>80</v>
      </c>
      <c r="H13" s="13">
        <v>0</v>
      </c>
      <c r="I13" s="13">
        <v>0</v>
      </c>
      <c r="J13" s="13" t="s">
        <v>114</v>
      </c>
      <c r="K13" s="13" t="s">
        <v>104</v>
      </c>
      <c r="L13" s="15" t="s">
        <v>16</v>
      </c>
      <c r="M13" s="15" t="s">
        <v>49</v>
      </c>
      <c r="N13" s="3"/>
    </row>
    <row r="14" spans="1:14" x14ac:dyDescent="0.35">
      <c r="A14" s="13">
        <v>13</v>
      </c>
      <c r="B14" s="13" t="s">
        <v>75</v>
      </c>
      <c r="C14" s="13" t="s">
        <v>76</v>
      </c>
      <c r="D14" s="13" t="s">
        <v>115</v>
      </c>
      <c r="E14" s="3" t="s">
        <v>116</v>
      </c>
      <c r="F14" s="13" t="s">
        <v>117</v>
      </c>
      <c r="G14" s="13" t="s">
        <v>80</v>
      </c>
      <c r="H14" s="13">
        <v>1</v>
      </c>
      <c r="I14" s="13">
        <v>0</v>
      </c>
      <c r="J14" s="13" t="s">
        <v>118</v>
      </c>
      <c r="K14" s="13" t="s">
        <v>119</v>
      </c>
      <c r="L14" s="15" t="s">
        <v>12</v>
      </c>
      <c r="M14" s="15" t="s">
        <v>43</v>
      </c>
      <c r="N14" s="3"/>
    </row>
    <row r="15" spans="1:14" ht="25" x14ac:dyDescent="0.35">
      <c r="A15" s="13">
        <v>14</v>
      </c>
      <c r="B15" s="13" t="s">
        <v>75</v>
      </c>
      <c r="C15" s="13" t="s">
        <v>76</v>
      </c>
      <c r="D15" s="13" t="s">
        <v>120</v>
      </c>
      <c r="E15" s="3" t="s">
        <v>121</v>
      </c>
      <c r="F15" s="13" t="s">
        <v>117</v>
      </c>
      <c r="G15" s="13" t="s">
        <v>80</v>
      </c>
      <c r="H15" s="13">
        <v>0</v>
      </c>
      <c r="I15" s="13">
        <v>2</v>
      </c>
      <c r="J15" s="13" t="s">
        <v>122</v>
      </c>
      <c r="K15" s="13" t="s">
        <v>119</v>
      </c>
      <c r="L15" s="15" t="s">
        <v>20</v>
      </c>
      <c r="M15" s="15" t="s">
        <v>49</v>
      </c>
      <c r="N15" s="3"/>
    </row>
    <row r="16" spans="1:14" x14ac:dyDescent="0.35">
      <c r="A16" s="13">
        <v>15</v>
      </c>
      <c r="B16" s="13" t="s">
        <v>75</v>
      </c>
      <c r="C16" s="13" t="s">
        <v>76</v>
      </c>
      <c r="D16" s="13" t="s">
        <v>123</v>
      </c>
      <c r="E16" s="3" t="s">
        <v>124</v>
      </c>
      <c r="F16" s="13" t="s">
        <v>117</v>
      </c>
      <c r="G16" s="13" t="s">
        <v>80</v>
      </c>
      <c r="H16" s="13">
        <v>1</v>
      </c>
      <c r="I16" s="13">
        <v>0</v>
      </c>
      <c r="J16" s="13" t="s">
        <v>125</v>
      </c>
      <c r="K16" s="13" t="s">
        <v>119</v>
      </c>
      <c r="L16" s="15" t="s">
        <v>12</v>
      </c>
      <c r="M16" s="15" t="s">
        <v>43</v>
      </c>
      <c r="N16" s="3"/>
    </row>
    <row r="17" spans="1:14" ht="37.5" x14ac:dyDescent="0.35">
      <c r="A17" s="13">
        <v>16</v>
      </c>
      <c r="B17" s="13" t="s">
        <v>75</v>
      </c>
      <c r="C17" s="13" t="s">
        <v>76</v>
      </c>
      <c r="D17" s="13" t="s">
        <v>126</v>
      </c>
      <c r="E17" s="3" t="s">
        <v>127</v>
      </c>
      <c r="F17" s="13" t="s">
        <v>117</v>
      </c>
      <c r="G17" s="13" t="s">
        <v>80</v>
      </c>
      <c r="H17" s="13">
        <v>3</v>
      </c>
      <c r="I17" s="13">
        <v>3</v>
      </c>
      <c r="J17" s="13" t="s">
        <v>128</v>
      </c>
      <c r="K17" s="13" t="s">
        <v>119</v>
      </c>
      <c r="L17" s="15" t="s">
        <v>28</v>
      </c>
      <c r="M17" s="15" t="s">
        <v>49</v>
      </c>
      <c r="N17" s="3"/>
    </row>
    <row r="18" spans="1:14" x14ac:dyDescent="0.35">
      <c r="A18" s="13">
        <v>17</v>
      </c>
      <c r="B18" s="13" t="s">
        <v>75</v>
      </c>
      <c r="C18" s="13" t="s">
        <v>76</v>
      </c>
      <c r="D18" s="13" t="s">
        <v>129</v>
      </c>
      <c r="E18" s="3" t="s">
        <v>130</v>
      </c>
      <c r="F18" s="13" t="s">
        <v>117</v>
      </c>
      <c r="G18" s="13" t="s">
        <v>80</v>
      </c>
      <c r="H18" s="13">
        <v>2</v>
      </c>
      <c r="I18" s="13">
        <v>1</v>
      </c>
      <c r="J18" s="13" t="s">
        <v>131</v>
      </c>
      <c r="K18" s="13" t="s">
        <v>119</v>
      </c>
      <c r="L18" s="15" t="s">
        <v>12</v>
      </c>
      <c r="M18" s="15" t="s">
        <v>43</v>
      </c>
      <c r="N18" s="3"/>
    </row>
    <row r="19" spans="1:14" x14ac:dyDescent="0.35">
      <c r="A19" s="13">
        <v>18</v>
      </c>
      <c r="B19" s="13" t="s">
        <v>75</v>
      </c>
      <c r="C19" s="13" t="s">
        <v>76</v>
      </c>
      <c r="D19" s="13" t="s">
        <v>132</v>
      </c>
      <c r="E19" s="3" t="s">
        <v>133</v>
      </c>
      <c r="F19" s="13" t="s">
        <v>117</v>
      </c>
      <c r="G19" s="13" t="s">
        <v>80</v>
      </c>
      <c r="H19" s="13">
        <v>0</v>
      </c>
      <c r="I19" s="13">
        <v>0</v>
      </c>
      <c r="J19" s="13" t="s">
        <v>134</v>
      </c>
      <c r="K19" s="13" t="s">
        <v>119</v>
      </c>
      <c r="L19" s="15" t="s">
        <v>8</v>
      </c>
      <c r="M19" s="15" t="s">
        <v>43</v>
      </c>
      <c r="N19" s="3"/>
    </row>
    <row r="20" spans="1:14" ht="25" x14ac:dyDescent="0.35">
      <c r="A20" s="13">
        <v>19</v>
      </c>
      <c r="B20" s="13" t="s">
        <v>75</v>
      </c>
      <c r="C20" s="13" t="s">
        <v>76</v>
      </c>
      <c r="D20" s="13" t="s">
        <v>135</v>
      </c>
      <c r="E20" s="3" t="s">
        <v>136</v>
      </c>
      <c r="F20" s="13" t="s">
        <v>117</v>
      </c>
      <c r="G20" s="13" t="s">
        <v>80</v>
      </c>
      <c r="H20" s="13">
        <v>1</v>
      </c>
      <c r="I20" s="13">
        <v>0</v>
      </c>
      <c r="J20" s="13" t="s">
        <v>137</v>
      </c>
      <c r="K20" s="13" t="s">
        <v>119</v>
      </c>
      <c r="L20" s="15" t="s">
        <v>36</v>
      </c>
      <c r="M20" s="15" t="s">
        <v>49</v>
      </c>
      <c r="N20" s="3"/>
    </row>
    <row r="21" spans="1:14" x14ac:dyDescent="0.35">
      <c r="A21" s="13">
        <v>20</v>
      </c>
      <c r="B21" s="13" t="s">
        <v>75</v>
      </c>
      <c r="C21" s="13" t="s">
        <v>76</v>
      </c>
      <c r="D21" s="13" t="s">
        <v>138</v>
      </c>
      <c r="E21" s="3" t="s">
        <v>139</v>
      </c>
      <c r="F21" s="13" t="s">
        <v>117</v>
      </c>
      <c r="G21" s="13" t="s">
        <v>80</v>
      </c>
      <c r="H21" s="13">
        <v>0</v>
      </c>
      <c r="I21" s="13">
        <v>0</v>
      </c>
      <c r="J21" s="13" t="s">
        <v>140</v>
      </c>
      <c r="K21" s="13" t="s">
        <v>119</v>
      </c>
      <c r="L21" s="15" t="s">
        <v>12</v>
      </c>
      <c r="M21" s="15" t="s">
        <v>49</v>
      </c>
      <c r="N21" s="3"/>
    </row>
    <row r="22" spans="1:14" x14ac:dyDescent="0.35">
      <c r="A22" s="13">
        <v>21</v>
      </c>
      <c r="B22" s="13" t="s">
        <v>75</v>
      </c>
      <c r="C22" s="13" t="s">
        <v>76</v>
      </c>
      <c r="D22" s="13" t="s">
        <v>141</v>
      </c>
      <c r="E22" s="3" t="s">
        <v>142</v>
      </c>
      <c r="F22" s="13" t="s">
        <v>117</v>
      </c>
      <c r="G22" s="13" t="s">
        <v>80</v>
      </c>
      <c r="H22" s="13">
        <v>0</v>
      </c>
      <c r="I22" s="13">
        <v>0</v>
      </c>
      <c r="J22" s="13" t="s">
        <v>143</v>
      </c>
      <c r="K22" s="13" t="s">
        <v>119</v>
      </c>
      <c r="L22" s="15" t="s">
        <v>8</v>
      </c>
      <c r="M22" s="15" t="s">
        <v>43</v>
      </c>
      <c r="N22" s="3"/>
    </row>
    <row r="23" spans="1:14" x14ac:dyDescent="0.35">
      <c r="A23" s="13">
        <v>22</v>
      </c>
      <c r="B23" s="13" t="s">
        <v>75</v>
      </c>
      <c r="C23" s="13" t="s">
        <v>76</v>
      </c>
      <c r="D23" s="13" t="s">
        <v>144</v>
      </c>
      <c r="E23" s="3" t="s">
        <v>145</v>
      </c>
      <c r="F23" s="13" t="s">
        <v>117</v>
      </c>
      <c r="G23" s="13" t="s">
        <v>80</v>
      </c>
      <c r="H23" s="13">
        <v>0</v>
      </c>
      <c r="I23" s="13">
        <v>0</v>
      </c>
      <c r="J23" s="13" t="s">
        <v>146</v>
      </c>
      <c r="K23" s="13" t="s">
        <v>119</v>
      </c>
      <c r="L23" s="15" t="s">
        <v>12</v>
      </c>
      <c r="M23" s="15" t="s">
        <v>49</v>
      </c>
      <c r="N23" s="3"/>
    </row>
    <row r="24" spans="1:14" x14ac:dyDescent="0.35">
      <c r="A24" s="13">
        <v>23</v>
      </c>
      <c r="B24" s="13" t="s">
        <v>75</v>
      </c>
      <c r="C24" s="13" t="s">
        <v>76</v>
      </c>
      <c r="D24" s="13" t="s">
        <v>147</v>
      </c>
      <c r="E24" s="3" t="s">
        <v>148</v>
      </c>
      <c r="F24" s="13" t="s">
        <v>117</v>
      </c>
      <c r="G24" s="13" t="s">
        <v>80</v>
      </c>
      <c r="H24" s="13">
        <v>0</v>
      </c>
      <c r="I24" s="13">
        <v>0</v>
      </c>
      <c r="J24" s="13" t="s">
        <v>149</v>
      </c>
      <c r="K24" s="13" t="s">
        <v>119</v>
      </c>
      <c r="L24" s="15" t="s">
        <v>12</v>
      </c>
      <c r="M24" s="15" t="s">
        <v>43</v>
      </c>
      <c r="N24" s="3"/>
    </row>
    <row r="25" spans="1:14" x14ac:dyDescent="0.35">
      <c r="A25" s="13">
        <v>24</v>
      </c>
      <c r="B25" s="13" t="s">
        <v>75</v>
      </c>
      <c r="C25" s="13" t="s">
        <v>76</v>
      </c>
      <c r="D25" s="13" t="s">
        <v>150</v>
      </c>
      <c r="E25" s="3" t="s">
        <v>151</v>
      </c>
      <c r="F25" s="13" t="s">
        <v>117</v>
      </c>
      <c r="G25" s="13" t="s">
        <v>80</v>
      </c>
      <c r="H25" s="13">
        <v>0</v>
      </c>
      <c r="I25" s="13">
        <v>0</v>
      </c>
      <c r="J25" s="13" t="s">
        <v>152</v>
      </c>
      <c r="K25" s="13" t="s">
        <v>119</v>
      </c>
      <c r="L25" s="15" t="s">
        <v>16</v>
      </c>
      <c r="M25" s="15" t="s">
        <v>49</v>
      </c>
      <c r="N25" s="3"/>
    </row>
    <row r="26" spans="1:14" x14ac:dyDescent="0.35">
      <c r="A26" s="13">
        <v>25</v>
      </c>
      <c r="B26" s="13" t="s">
        <v>75</v>
      </c>
      <c r="C26" s="13" t="s">
        <v>76</v>
      </c>
      <c r="D26" s="13" t="s">
        <v>153</v>
      </c>
      <c r="E26" s="3" t="s">
        <v>154</v>
      </c>
      <c r="F26" s="13" t="s">
        <v>117</v>
      </c>
      <c r="G26" s="13" t="s">
        <v>80</v>
      </c>
      <c r="H26" s="13">
        <v>0</v>
      </c>
      <c r="I26" s="13">
        <v>0</v>
      </c>
      <c r="J26" s="13" t="s">
        <v>155</v>
      </c>
      <c r="K26" s="13" t="s">
        <v>119</v>
      </c>
      <c r="L26" s="15" t="s">
        <v>8</v>
      </c>
      <c r="M26" s="15" t="s">
        <v>43</v>
      </c>
      <c r="N26" s="3"/>
    </row>
    <row r="27" spans="1:14" x14ac:dyDescent="0.35">
      <c r="A27" s="13">
        <v>26</v>
      </c>
      <c r="B27" s="13" t="s">
        <v>75</v>
      </c>
      <c r="C27" s="13" t="s">
        <v>76</v>
      </c>
      <c r="D27" s="13" t="s">
        <v>156</v>
      </c>
      <c r="E27" s="3" t="s">
        <v>157</v>
      </c>
      <c r="F27" s="13" t="s">
        <v>117</v>
      </c>
      <c r="G27" s="13" t="s">
        <v>80</v>
      </c>
      <c r="H27" s="13">
        <v>0</v>
      </c>
      <c r="I27" s="13">
        <v>0</v>
      </c>
      <c r="J27" s="13" t="s">
        <v>158</v>
      </c>
      <c r="K27" s="13" t="s">
        <v>119</v>
      </c>
      <c r="L27" s="15" t="s">
        <v>12</v>
      </c>
      <c r="M27" s="15" t="s">
        <v>43</v>
      </c>
      <c r="N27" s="3"/>
    </row>
    <row r="28" spans="1:14" x14ac:dyDescent="0.35">
      <c r="A28" s="13">
        <v>27</v>
      </c>
      <c r="B28" s="13" t="s">
        <v>75</v>
      </c>
      <c r="C28" s="13" t="s">
        <v>76</v>
      </c>
      <c r="D28" s="13" t="s">
        <v>159</v>
      </c>
      <c r="E28" s="3" t="s">
        <v>160</v>
      </c>
      <c r="F28" s="13" t="s">
        <v>117</v>
      </c>
      <c r="G28" s="13" t="s">
        <v>80</v>
      </c>
      <c r="H28" s="13">
        <v>0</v>
      </c>
      <c r="I28" s="13">
        <v>0</v>
      </c>
      <c r="J28" s="13" t="s">
        <v>161</v>
      </c>
      <c r="K28" s="13" t="s">
        <v>119</v>
      </c>
      <c r="L28" s="15" t="s">
        <v>16</v>
      </c>
      <c r="M28" s="15" t="s">
        <v>49</v>
      </c>
      <c r="N28" s="3"/>
    </row>
    <row r="29" spans="1:14" x14ac:dyDescent="0.35">
      <c r="A29" s="13">
        <v>28</v>
      </c>
      <c r="B29" s="13" t="s">
        <v>75</v>
      </c>
      <c r="C29" s="13" t="s">
        <v>76</v>
      </c>
      <c r="D29" s="13" t="s">
        <v>162</v>
      </c>
      <c r="E29" s="3" t="s">
        <v>163</v>
      </c>
      <c r="F29" s="13" t="s">
        <v>117</v>
      </c>
      <c r="G29" s="13" t="s">
        <v>80</v>
      </c>
      <c r="H29" s="13">
        <v>1</v>
      </c>
      <c r="I29" s="13">
        <v>0</v>
      </c>
      <c r="J29" s="13" t="s">
        <v>164</v>
      </c>
      <c r="K29" s="13" t="s">
        <v>119</v>
      </c>
      <c r="L29" s="15" t="s">
        <v>28</v>
      </c>
      <c r="M29" s="15" t="s">
        <v>49</v>
      </c>
      <c r="N29" s="3"/>
    </row>
    <row r="30" spans="1:14" x14ac:dyDescent="0.35">
      <c r="A30" s="13">
        <v>29</v>
      </c>
      <c r="B30" s="13" t="s">
        <v>75</v>
      </c>
      <c r="C30" s="13" t="s">
        <v>76</v>
      </c>
      <c r="D30" s="13" t="s">
        <v>165</v>
      </c>
      <c r="E30" s="3" t="s">
        <v>166</v>
      </c>
      <c r="F30" s="13" t="s">
        <v>117</v>
      </c>
      <c r="G30" s="13" t="s">
        <v>80</v>
      </c>
      <c r="H30" s="13">
        <v>1</v>
      </c>
      <c r="I30" s="13">
        <v>0</v>
      </c>
      <c r="J30" s="13" t="s">
        <v>167</v>
      </c>
      <c r="K30" s="13" t="s">
        <v>119</v>
      </c>
      <c r="L30" s="15" t="s">
        <v>16</v>
      </c>
      <c r="M30" s="15" t="s">
        <v>49</v>
      </c>
      <c r="N30" s="3"/>
    </row>
    <row r="31" spans="1:14" x14ac:dyDescent="0.35">
      <c r="A31" s="13">
        <v>30</v>
      </c>
      <c r="B31" s="13" t="s">
        <v>75</v>
      </c>
      <c r="C31" s="13" t="s">
        <v>76</v>
      </c>
      <c r="D31" s="13" t="s">
        <v>168</v>
      </c>
      <c r="E31" s="3" t="s">
        <v>169</v>
      </c>
      <c r="F31" s="13" t="s">
        <v>117</v>
      </c>
      <c r="G31" s="13" t="s">
        <v>80</v>
      </c>
      <c r="H31" s="13">
        <v>3</v>
      </c>
      <c r="I31" s="13">
        <v>1</v>
      </c>
      <c r="J31" s="13" t="s">
        <v>170</v>
      </c>
      <c r="K31" s="13" t="s">
        <v>119</v>
      </c>
      <c r="L31" s="15" t="s">
        <v>24</v>
      </c>
      <c r="M31" s="15" t="s">
        <v>46</v>
      </c>
      <c r="N31" s="3"/>
    </row>
    <row r="32" spans="1:14" ht="37.5" x14ac:dyDescent="0.35">
      <c r="A32" s="13">
        <v>31</v>
      </c>
      <c r="B32" s="13" t="s">
        <v>75</v>
      </c>
      <c r="C32" s="13" t="s">
        <v>76</v>
      </c>
      <c r="D32" s="13" t="s">
        <v>171</v>
      </c>
      <c r="E32" s="3" t="s">
        <v>172</v>
      </c>
      <c r="F32" s="13" t="s">
        <v>117</v>
      </c>
      <c r="G32" s="13" t="s">
        <v>80</v>
      </c>
      <c r="H32" s="13">
        <v>1</v>
      </c>
      <c r="I32" s="13">
        <v>3</v>
      </c>
      <c r="J32" s="13" t="s">
        <v>173</v>
      </c>
      <c r="K32" s="13" t="s">
        <v>119</v>
      </c>
      <c r="L32" s="15" t="s">
        <v>8</v>
      </c>
      <c r="M32" s="15" t="s">
        <v>43</v>
      </c>
      <c r="N32" s="3"/>
    </row>
    <row r="33" spans="1:14" x14ac:dyDescent="0.35">
      <c r="A33" s="13">
        <v>32</v>
      </c>
      <c r="B33" s="13" t="s">
        <v>75</v>
      </c>
      <c r="C33" s="13" t="s">
        <v>76</v>
      </c>
      <c r="D33" s="13" t="s">
        <v>174</v>
      </c>
      <c r="E33" s="3" t="s">
        <v>175</v>
      </c>
      <c r="F33" s="13" t="s">
        <v>117</v>
      </c>
      <c r="G33" s="13" t="s">
        <v>80</v>
      </c>
      <c r="H33" s="13">
        <v>0</v>
      </c>
      <c r="I33" s="13">
        <v>0</v>
      </c>
      <c r="J33" s="13" t="s">
        <v>176</v>
      </c>
      <c r="K33" s="13" t="s">
        <v>119</v>
      </c>
      <c r="L33" s="15" t="s">
        <v>8</v>
      </c>
      <c r="M33" s="15" t="s">
        <v>43</v>
      </c>
      <c r="N33" s="3"/>
    </row>
    <row r="34" spans="1:14" x14ac:dyDescent="0.35">
      <c r="A34" s="13">
        <v>33</v>
      </c>
      <c r="B34" s="13" t="s">
        <v>75</v>
      </c>
      <c r="C34" s="13" t="s">
        <v>76</v>
      </c>
      <c r="D34" s="13" t="s">
        <v>177</v>
      </c>
      <c r="E34" s="3" t="s">
        <v>178</v>
      </c>
      <c r="F34" s="13" t="s">
        <v>117</v>
      </c>
      <c r="G34" s="13" t="s">
        <v>80</v>
      </c>
      <c r="H34" s="13">
        <v>0</v>
      </c>
      <c r="I34" s="13">
        <v>0</v>
      </c>
      <c r="J34" s="13" t="s">
        <v>179</v>
      </c>
      <c r="K34" s="13" t="s">
        <v>119</v>
      </c>
      <c r="L34" s="15" t="s">
        <v>12</v>
      </c>
      <c r="M34" s="15" t="s">
        <v>49</v>
      </c>
      <c r="N34" s="3"/>
    </row>
    <row r="35" spans="1:14" x14ac:dyDescent="0.35">
      <c r="A35" s="13">
        <v>34</v>
      </c>
      <c r="B35" s="13" t="s">
        <v>75</v>
      </c>
      <c r="C35" s="13" t="s">
        <v>76</v>
      </c>
      <c r="D35" s="13" t="s">
        <v>177</v>
      </c>
      <c r="E35" s="3" t="s">
        <v>180</v>
      </c>
      <c r="F35" s="13" t="s">
        <v>117</v>
      </c>
      <c r="G35" s="13" t="s">
        <v>80</v>
      </c>
      <c r="H35" s="13">
        <v>0</v>
      </c>
      <c r="I35" s="13">
        <v>0</v>
      </c>
      <c r="J35" s="13" t="s">
        <v>181</v>
      </c>
      <c r="K35" s="13" t="s">
        <v>119</v>
      </c>
      <c r="L35" s="15" t="s">
        <v>28</v>
      </c>
      <c r="M35" s="15" t="s">
        <v>49</v>
      </c>
      <c r="N35" s="3"/>
    </row>
    <row r="36" spans="1:14" x14ac:dyDescent="0.35">
      <c r="A36" s="13">
        <v>35</v>
      </c>
      <c r="B36" s="13" t="s">
        <v>75</v>
      </c>
      <c r="C36" s="13" t="s">
        <v>76</v>
      </c>
      <c r="D36" s="13" t="s">
        <v>182</v>
      </c>
      <c r="E36" s="3" t="s">
        <v>183</v>
      </c>
      <c r="F36" s="13" t="s">
        <v>117</v>
      </c>
      <c r="G36" s="13" t="s">
        <v>80</v>
      </c>
      <c r="H36" s="13">
        <v>1</v>
      </c>
      <c r="I36" s="13">
        <v>2</v>
      </c>
      <c r="J36" s="13" t="s">
        <v>184</v>
      </c>
      <c r="K36" s="13" t="s">
        <v>119</v>
      </c>
      <c r="L36" s="15" t="s">
        <v>20</v>
      </c>
      <c r="M36" s="15" t="s">
        <v>49</v>
      </c>
      <c r="N36" s="3"/>
    </row>
    <row r="37" spans="1:14" x14ac:dyDescent="0.35">
      <c r="A37" s="13">
        <v>36</v>
      </c>
      <c r="B37" s="13" t="s">
        <v>75</v>
      </c>
      <c r="C37" s="13" t="s">
        <v>76</v>
      </c>
      <c r="D37" s="13" t="s">
        <v>185</v>
      </c>
      <c r="E37" s="3" t="s">
        <v>186</v>
      </c>
      <c r="F37" s="13" t="s">
        <v>117</v>
      </c>
      <c r="G37" s="13" t="s">
        <v>80</v>
      </c>
      <c r="H37" s="13">
        <v>1</v>
      </c>
      <c r="I37" s="13">
        <v>0</v>
      </c>
      <c r="J37" s="13" t="s">
        <v>187</v>
      </c>
      <c r="K37" s="13" t="s">
        <v>119</v>
      </c>
      <c r="L37" s="15" t="s">
        <v>28</v>
      </c>
      <c r="M37" s="15" t="s">
        <v>49</v>
      </c>
      <c r="N37" s="3"/>
    </row>
    <row r="38" spans="1:14" x14ac:dyDescent="0.35">
      <c r="A38" s="13">
        <v>37</v>
      </c>
      <c r="B38" s="13" t="s">
        <v>75</v>
      </c>
      <c r="C38" s="13" t="s">
        <v>76</v>
      </c>
      <c r="D38" s="13" t="s">
        <v>188</v>
      </c>
      <c r="E38" s="3" t="s">
        <v>189</v>
      </c>
      <c r="F38" s="13" t="s">
        <v>117</v>
      </c>
      <c r="G38" s="13" t="s">
        <v>80</v>
      </c>
      <c r="H38" s="13">
        <v>1</v>
      </c>
      <c r="I38" s="13">
        <v>0</v>
      </c>
      <c r="J38" s="13" t="s">
        <v>190</v>
      </c>
      <c r="K38" s="13" t="s">
        <v>119</v>
      </c>
      <c r="L38" s="15" t="s">
        <v>16</v>
      </c>
      <c r="M38" s="15" t="s">
        <v>49</v>
      </c>
      <c r="N38" s="3"/>
    </row>
    <row r="39" spans="1:14" x14ac:dyDescent="0.35">
      <c r="A39" s="13">
        <v>38</v>
      </c>
      <c r="B39" s="13" t="s">
        <v>75</v>
      </c>
      <c r="C39" s="13" t="s">
        <v>76</v>
      </c>
      <c r="D39" s="13" t="s">
        <v>191</v>
      </c>
      <c r="E39" s="3" t="s">
        <v>192</v>
      </c>
      <c r="F39" s="13" t="s">
        <v>117</v>
      </c>
      <c r="G39" s="13" t="s">
        <v>80</v>
      </c>
      <c r="H39" s="13">
        <v>0</v>
      </c>
      <c r="I39" s="13">
        <v>0</v>
      </c>
      <c r="J39" s="13" t="s">
        <v>193</v>
      </c>
      <c r="K39" s="13" t="s">
        <v>119</v>
      </c>
      <c r="L39" s="15" t="s">
        <v>12</v>
      </c>
      <c r="M39" s="15" t="s">
        <v>43</v>
      </c>
      <c r="N39" s="3"/>
    </row>
    <row r="40" spans="1:14" x14ac:dyDescent="0.35">
      <c r="A40" s="13">
        <v>39</v>
      </c>
      <c r="B40" s="13" t="s">
        <v>75</v>
      </c>
      <c r="C40" s="13" t="s">
        <v>76</v>
      </c>
      <c r="D40" s="13" t="s">
        <v>194</v>
      </c>
      <c r="E40" s="3" t="s">
        <v>195</v>
      </c>
      <c r="F40" s="13" t="s">
        <v>117</v>
      </c>
      <c r="G40" s="13" t="s">
        <v>80</v>
      </c>
      <c r="H40" s="13">
        <v>0</v>
      </c>
      <c r="I40" s="13">
        <v>0</v>
      </c>
      <c r="J40" s="13" t="s">
        <v>196</v>
      </c>
      <c r="K40" s="13" t="s">
        <v>119</v>
      </c>
      <c r="L40" s="15" t="s">
        <v>12</v>
      </c>
      <c r="M40" s="15" t="s">
        <v>43</v>
      </c>
      <c r="N40" s="3"/>
    </row>
    <row r="41" spans="1:14" x14ac:dyDescent="0.35">
      <c r="A41" s="13">
        <v>40</v>
      </c>
      <c r="B41" s="13" t="s">
        <v>75</v>
      </c>
      <c r="C41" s="13" t="s">
        <v>76</v>
      </c>
      <c r="D41" s="13" t="s">
        <v>197</v>
      </c>
      <c r="E41" s="3" t="s">
        <v>198</v>
      </c>
      <c r="F41" s="13" t="s">
        <v>117</v>
      </c>
      <c r="G41" s="13" t="s">
        <v>80</v>
      </c>
      <c r="H41" s="13">
        <v>1</v>
      </c>
      <c r="I41" s="13">
        <v>0</v>
      </c>
      <c r="J41" s="13" t="s">
        <v>199</v>
      </c>
      <c r="K41" s="13" t="s">
        <v>119</v>
      </c>
      <c r="L41" s="15" t="s">
        <v>28</v>
      </c>
      <c r="M41" s="15" t="s">
        <v>49</v>
      </c>
      <c r="N41" s="3"/>
    </row>
    <row r="42" spans="1:14" x14ac:dyDescent="0.35">
      <c r="A42" s="13">
        <v>41</v>
      </c>
      <c r="B42" s="13" t="s">
        <v>75</v>
      </c>
      <c r="C42" s="13" t="s">
        <v>76</v>
      </c>
      <c r="D42" s="13" t="s">
        <v>200</v>
      </c>
      <c r="E42" s="3" t="s">
        <v>201</v>
      </c>
      <c r="F42" s="13" t="s">
        <v>117</v>
      </c>
      <c r="G42" s="13" t="s">
        <v>80</v>
      </c>
      <c r="H42" s="13">
        <v>0</v>
      </c>
      <c r="I42" s="13">
        <v>0</v>
      </c>
      <c r="J42" s="13" t="s">
        <v>202</v>
      </c>
      <c r="K42" s="13" t="s">
        <v>119</v>
      </c>
      <c r="L42" s="15" t="s">
        <v>8</v>
      </c>
      <c r="M42" s="15" t="s">
        <v>43</v>
      </c>
      <c r="N42" s="3"/>
    </row>
    <row r="43" spans="1:14" x14ac:dyDescent="0.35">
      <c r="A43" s="13">
        <v>42</v>
      </c>
      <c r="B43" s="13" t="s">
        <v>75</v>
      </c>
      <c r="C43" s="13" t="s">
        <v>76</v>
      </c>
      <c r="D43" s="13" t="s">
        <v>203</v>
      </c>
      <c r="E43" s="3" t="s">
        <v>204</v>
      </c>
      <c r="F43" s="13" t="s">
        <v>117</v>
      </c>
      <c r="G43" s="13" t="s">
        <v>80</v>
      </c>
      <c r="H43" s="13">
        <v>1</v>
      </c>
      <c r="I43" s="13">
        <v>0</v>
      </c>
      <c r="J43" s="13" t="s">
        <v>205</v>
      </c>
      <c r="K43" s="13" t="s">
        <v>119</v>
      </c>
      <c r="L43" s="15" t="s">
        <v>20</v>
      </c>
      <c r="M43" s="15" t="s">
        <v>49</v>
      </c>
      <c r="N43" s="3"/>
    </row>
    <row r="44" spans="1:14" x14ac:dyDescent="0.35">
      <c r="A44" s="13">
        <v>43</v>
      </c>
      <c r="B44" s="13" t="s">
        <v>75</v>
      </c>
      <c r="C44" s="13" t="s">
        <v>76</v>
      </c>
      <c r="D44" s="13" t="s">
        <v>206</v>
      </c>
      <c r="E44" s="3" t="s">
        <v>139</v>
      </c>
      <c r="F44" s="13" t="s">
        <v>117</v>
      </c>
      <c r="G44" s="13" t="s">
        <v>80</v>
      </c>
      <c r="H44" s="13">
        <v>0</v>
      </c>
      <c r="I44" s="13">
        <v>0</v>
      </c>
      <c r="J44" s="13" t="s">
        <v>207</v>
      </c>
      <c r="K44" s="13" t="s">
        <v>119</v>
      </c>
      <c r="L44" s="15" t="s">
        <v>12</v>
      </c>
      <c r="M44" s="15" t="s">
        <v>49</v>
      </c>
      <c r="N44" s="3"/>
    </row>
    <row r="45" spans="1:14" x14ac:dyDescent="0.35">
      <c r="A45" s="13">
        <v>44</v>
      </c>
      <c r="B45" s="13" t="s">
        <v>75</v>
      </c>
      <c r="C45" s="13" t="s">
        <v>76</v>
      </c>
      <c r="D45" s="13" t="s">
        <v>206</v>
      </c>
      <c r="E45" s="3" t="s">
        <v>208</v>
      </c>
      <c r="F45" s="13" t="s">
        <v>117</v>
      </c>
      <c r="G45" s="13" t="s">
        <v>80</v>
      </c>
      <c r="H45" s="13">
        <v>0</v>
      </c>
      <c r="I45" s="13">
        <v>0</v>
      </c>
      <c r="J45" s="13" t="s">
        <v>209</v>
      </c>
      <c r="K45" s="13" t="s">
        <v>119</v>
      </c>
      <c r="L45" s="15" t="s">
        <v>12</v>
      </c>
      <c r="M45" s="15" t="s">
        <v>49</v>
      </c>
      <c r="N45" s="3"/>
    </row>
    <row r="46" spans="1:14" x14ac:dyDescent="0.35">
      <c r="A46" s="13">
        <v>45</v>
      </c>
      <c r="B46" s="13" t="s">
        <v>75</v>
      </c>
      <c r="C46" s="13" t="s">
        <v>76</v>
      </c>
      <c r="D46" s="13" t="s">
        <v>210</v>
      </c>
      <c r="E46" s="3" t="s">
        <v>211</v>
      </c>
      <c r="F46" s="13" t="s">
        <v>117</v>
      </c>
      <c r="G46" s="13" t="s">
        <v>80</v>
      </c>
      <c r="H46" s="13">
        <v>0</v>
      </c>
      <c r="I46" s="13">
        <v>0</v>
      </c>
      <c r="J46" s="13" t="s">
        <v>212</v>
      </c>
      <c r="K46" s="13" t="s">
        <v>119</v>
      </c>
      <c r="L46" s="15" t="s">
        <v>16</v>
      </c>
      <c r="M46" s="15" t="s">
        <v>49</v>
      </c>
      <c r="N46" s="3"/>
    </row>
    <row r="47" spans="1:14" x14ac:dyDescent="0.35">
      <c r="A47" s="13">
        <v>46</v>
      </c>
      <c r="B47" s="13" t="s">
        <v>75</v>
      </c>
      <c r="C47" s="13" t="s">
        <v>76</v>
      </c>
      <c r="D47" s="13" t="s">
        <v>213</v>
      </c>
      <c r="E47" s="3" t="s">
        <v>214</v>
      </c>
      <c r="F47" s="13" t="s">
        <v>117</v>
      </c>
      <c r="G47" s="13" t="s">
        <v>84</v>
      </c>
      <c r="H47" s="13">
        <v>2</v>
      </c>
      <c r="I47" s="13">
        <v>0</v>
      </c>
      <c r="J47" s="13" t="s">
        <v>215</v>
      </c>
      <c r="K47" s="13" t="s">
        <v>119</v>
      </c>
      <c r="L47" s="15" t="s">
        <v>32</v>
      </c>
      <c r="M47" s="15" t="s">
        <v>49</v>
      </c>
      <c r="N47" s="3"/>
    </row>
    <row r="48" spans="1:14" x14ac:dyDescent="0.35">
      <c r="A48" s="13">
        <v>47</v>
      </c>
      <c r="B48" s="13" t="s">
        <v>75</v>
      </c>
      <c r="C48" s="13" t="s">
        <v>76</v>
      </c>
      <c r="D48" s="13" t="s">
        <v>216</v>
      </c>
      <c r="E48" s="3" t="s">
        <v>139</v>
      </c>
      <c r="F48" s="13" t="s">
        <v>117</v>
      </c>
      <c r="G48" s="13" t="s">
        <v>80</v>
      </c>
      <c r="H48" s="13">
        <v>0</v>
      </c>
      <c r="I48" s="13">
        <v>0</v>
      </c>
      <c r="J48" s="13" t="s">
        <v>217</v>
      </c>
      <c r="K48" s="13" t="s">
        <v>119</v>
      </c>
      <c r="L48" s="15" t="s">
        <v>12</v>
      </c>
      <c r="M48" s="15" t="s">
        <v>49</v>
      </c>
      <c r="N48" s="3"/>
    </row>
    <row r="49" spans="1:14" x14ac:dyDescent="0.35">
      <c r="A49" s="13">
        <v>48</v>
      </c>
      <c r="B49" s="13" t="s">
        <v>75</v>
      </c>
      <c r="C49" s="13" t="s">
        <v>76</v>
      </c>
      <c r="D49" s="13" t="s">
        <v>218</v>
      </c>
      <c r="E49" s="3" t="s">
        <v>219</v>
      </c>
      <c r="F49" s="13" t="s">
        <v>117</v>
      </c>
      <c r="G49" s="13" t="s">
        <v>80</v>
      </c>
      <c r="H49" s="13">
        <v>0</v>
      </c>
      <c r="I49" s="13">
        <v>0</v>
      </c>
      <c r="J49" s="13" t="s">
        <v>220</v>
      </c>
      <c r="K49" s="13" t="s">
        <v>119</v>
      </c>
      <c r="L49" s="15" t="s">
        <v>28</v>
      </c>
      <c r="M49" s="15" t="s">
        <v>49</v>
      </c>
      <c r="N49" s="3"/>
    </row>
    <row r="50" spans="1:14" x14ac:dyDescent="0.35">
      <c r="A50" s="13">
        <v>49</v>
      </c>
      <c r="B50" s="13" t="s">
        <v>75</v>
      </c>
      <c r="C50" s="13" t="s">
        <v>76</v>
      </c>
      <c r="D50" s="13" t="s">
        <v>221</v>
      </c>
      <c r="E50" s="3" t="s">
        <v>222</v>
      </c>
      <c r="F50" s="13" t="s">
        <v>117</v>
      </c>
      <c r="G50" s="13" t="s">
        <v>80</v>
      </c>
      <c r="H50" s="13">
        <v>0</v>
      </c>
      <c r="I50" s="13">
        <v>0</v>
      </c>
      <c r="J50" s="13" t="s">
        <v>223</v>
      </c>
      <c r="K50" s="13" t="s">
        <v>119</v>
      </c>
      <c r="L50" s="15" t="s">
        <v>12</v>
      </c>
      <c r="M50" s="15" t="s">
        <v>43</v>
      </c>
      <c r="N50" s="3"/>
    </row>
    <row r="51" spans="1:14" x14ac:dyDescent="0.35">
      <c r="A51" s="13">
        <v>50</v>
      </c>
      <c r="B51" s="13" t="s">
        <v>75</v>
      </c>
      <c r="C51" s="13" t="s">
        <v>76</v>
      </c>
      <c r="D51" s="13" t="s">
        <v>224</v>
      </c>
      <c r="E51" s="3" t="s">
        <v>225</v>
      </c>
      <c r="F51" s="13" t="s">
        <v>117</v>
      </c>
      <c r="G51" s="13" t="s">
        <v>80</v>
      </c>
      <c r="H51" s="13">
        <v>0</v>
      </c>
      <c r="I51" s="13">
        <v>0</v>
      </c>
      <c r="J51" s="13" t="s">
        <v>226</v>
      </c>
      <c r="K51" s="13" t="s">
        <v>119</v>
      </c>
      <c r="L51" s="15" t="s">
        <v>12</v>
      </c>
      <c r="M51" s="15" t="s">
        <v>49</v>
      </c>
      <c r="N51" s="3"/>
    </row>
    <row r="52" spans="1:14" x14ac:dyDescent="0.35">
      <c r="A52" s="13">
        <v>51</v>
      </c>
      <c r="B52" s="13" t="s">
        <v>75</v>
      </c>
      <c r="C52" s="13" t="s">
        <v>76</v>
      </c>
      <c r="D52" s="13" t="s">
        <v>227</v>
      </c>
      <c r="E52" s="3" t="s">
        <v>228</v>
      </c>
      <c r="F52" s="13" t="s">
        <v>117</v>
      </c>
      <c r="G52" s="13" t="s">
        <v>80</v>
      </c>
      <c r="H52" s="13">
        <v>0</v>
      </c>
      <c r="I52" s="13">
        <v>0</v>
      </c>
      <c r="J52" s="13" t="s">
        <v>229</v>
      </c>
      <c r="K52" s="13" t="s">
        <v>119</v>
      </c>
      <c r="L52" s="15" t="s">
        <v>24</v>
      </c>
      <c r="M52" s="15" t="s">
        <v>46</v>
      </c>
      <c r="N52" s="3"/>
    </row>
    <row r="53" spans="1:14" x14ac:dyDescent="0.35">
      <c r="A53" s="13">
        <v>52</v>
      </c>
      <c r="B53" s="13" t="s">
        <v>75</v>
      </c>
      <c r="C53" s="13" t="s">
        <v>76</v>
      </c>
      <c r="D53" s="13" t="s">
        <v>230</v>
      </c>
      <c r="E53" s="3" t="s">
        <v>231</v>
      </c>
      <c r="F53" s="13" t="s">
        <v>117</v>
      </c>
      <c r="G53" s="13" t="s">
        <v>80</v>
      </c>
      <c r="H53" s="13">
        <v>0</v>
      </c>
      <c r="I53" s="13">
        <v>0</v>
      </c>
      <c r="J53" s="13" t="s">
        <v>232</v>
      </c>
      <c r="K53" s="13" t="s">
        <v>119</v>
      </c>
      <c r="L53" s="15" t="s">
        <v>8</v>
      </c>
      <c r="M53" s="15" t="s">
        <v>43</v>
      </c>
      <c r="N53" s="3"/>
    </row>
    <row r="54" spans="1:14" x14ac:dyDescent="0.35">
      <c r="A54" s="13">
        <v>53</v>
      </c>
      <c r="B54" s="13" t="s">
        <v>75</v>
      </c>
      <c r="C54" s="13" t="s">
        <v>76</v>
      </c>
      <c r="D54" s="13" t="s">
        <v>233</v>
      </c>
      <c r="E54" s="3" t="s">
        <v>234</v>
      </c>
      <c r="F54" s="13" t="s">
        <v>117</v>
      </c>
      <c r="G54" s="13" t="s">
        <v>80</v>
      </c>
      <c r="H54" s="13">
        <v>0</v>
      </c>
      <c r="I54" s="13">
        <v>3</v>
      </c>
      <c r="J54" s="13" t="s">
        <v>235</v>
      </c>
      <c r="K54" s="13" t="s">
        <v>119</v>
      </c>
      <c r="L54" s="15" t="s">
        <v>24</v>
      </c>
      <c r="M54" s="15" t="s">
        <v>46</v>
      </c>
      <c r="N54" s="3"/>
    </row>
    <row r="55" spans="1:14" x14ac:dyDescent="0.35">
      <c r="A55" s="13">
        <v>54</v>
      </c>
      <c r="B55" s="13" t="s">
        <v>75</v>
      </c>
      <c r="C55" s="13" t="s">
        <v>76</v>
      </c>
      <c r="D55" s="13" t="s">
        <v>236</v>
      </c>
      <c r="E55" s="3" t="s">
        <v>237</v>
      </c>
      <c r="F55" s="13" t="s">
        <v>117</v>
      </c>
      <c r="G55" s="13" t="s">
        <v>80</v>
      </c>
      <c r="H55" s="13">
        <v>0</v>
      </c>
      <c r="I55" s="13">
        <v>0</v>
      </c>
      <c r="J55" s="13" t="s">
        <v>238</v>
      </c>
      <c r="K55" s="13" t="s">
        <v>119</v>
      </c>
      <c r="L55" s="15" t="s">
        <v>16</v>
      </c>
      <c r="M55" s="15" t="s">
        <v>49</v>
      </c>
      <c r="N55" s="3"/>
    </row>
    <row r="56" spans="1:14" x14ac:dyDescent="0.35">
      <c r="A56" s="13">
        <v>55</v>
      </c>
      <c r="B56" s="13" t="s">
        <v>75</v>
      </c>
      <c r="C56" s="13" t="s">
        <v>76</v>
      </c>
      <c r="D56" s="13" t="s">
        <v>239</v>
      </c>
      <c r="E56" s="3" t="s">
        <v>240</v>
      </c>
      <c r="F56" s="13" t="s">
        <v>117</v>
      </c>
      <c r="G56" s="13" t="s">
        <v>80</v>
      </c>
      <c r="H56" s="13">
        <v>4</v>
      </c>
      <c r="I56" s="13">
        <v>6</v>
      </c>
      <c r="J56" s="13" t="s">
        <v>241</v>
      </c>
      <c r="K56" s="13" t="s">
        <v>119</v>
      </c>
      <c r="L56" s="15" t="s">
        <v>24</v>
      </c>
      <c r="M56" s="15" t="s">
        <v>46</v>
      </c>
      <c r="N56" s="3"/>
    </row>
    <row r="57" spans="1:14" x14ac:dyDescent="0.35">
      <c r="A57" s="13">
        <v>56</v>
      </c>
      <c r="B57" s="13" t="s">
        <v>75</v>
      </c>
      <c r="C57" s="13" t="s">
        <v>76</v>
      </c>
      <c r="D57" s="13" t="s">
        <v>242</v>
      </c>
      <c r="E57" s="3" t="s">
        <v>243</v>
      </c>
      <c r="F57" s="13" t="s">
        <v>117</v>
      </c>
      <c r="G57" s="13" t="s">
        <v>84</v>
      </c>
      <c r="H57" s="13">
        <v>1</v>
      </c>
      <c r="I57" s="13">
        <v>2</v>
      </c>
      <c r="J57" s="13" t="s">
        <v>244</v>
      </c>
      <c r="K57" s="13" t="s">
        <v>119</v>
      </c>
      <c r="L57" s="15" t="s">
        <v>12</v>
      </c>
      <c r="M57" s="15" t="s">
        <v>49</v>
      </c>
      <c r="N57" s="3"/>
    </row>
    <row r="58" spans="1:14" x14ac:dyDescent="0.35">
      <c r="A58" s="13">
        <v>57</v>
      </c>
      <c r="B58" s="13" t="s">
        <v>75</v>
      </c>
      <c r="C58" s="13" t="s">
        <v>76</v>
      </c>
      <c r="D58" s="13" t="s">
        <v>245</v>
      </c>
      <c r="E58" s="3" t="s">
        <v>246</v>
      </c>
      <c r="F58" s="13" t="s">
        <v>117</v>
      </c>
      <c r="G58" s="13" t="s">
        <v>84</v>
      </c>
      <c r="H58" s="13">
        <v>1</v>
      </c>
      <c r="I58" s="13">
        <v>0</v>
      </c>
      <c r="J58" s="13" t="s">
        <v>247</v>
      </c>
      <c r="K58" s="13" t="s">
        <v>119</v>
      </c>
      <c r="L58" s="15" t="s">
        <v>32</v>
      </c>
      <c r="M58" s="15" t="s">
        <v>49</v>
      </c>
      <c r="N58" s="3"/>
    </row>
    <row r="59" spans="1:14" ht="25" x14ac:dyDescent="0.35">
      <c r="A59" s="13">
        <v>58</v>
      </c>
      <c r="B59" s="13" t="s">
        <v>86</v>
      </c>
      <c r="C59" s="13" t="s">
        <v>76</v>
      </c>
      <c r="D59" s="13" t="s">
        <v>248</v>
      </c>
      <c r="E59" s="3" t="s">
        <v>249</v>
      </c>
      <c r="F59" s="13" t="s">
        <v>117</v>
      </c>
      <c r="G59" s="13" t="s">
        <v>80</v>
      </c>
      <c r="H59" s="13">
        <v>1</v>
      </c>
      <c r="I59" s="13">
        <v>0</v>
      </c>
      <c r="J59" s="13" t="s">
        <v>250</v>
      </c>
      <c r="K59" s="13" t="s">
        <v>119</v>
      </c>
      <c r="L59" s="15" t="s">
        <v>16</v>
      </c>
      <c r="M59" s="15" t="s">
        <v>49</v>
      </c>
      <c r="N59" s="3"/>
    </row>
    <row r="60" spans="1:14" x14ac:dyDescent="0.35">
      <c r="A60" s="13">
        <v>59</v>
      </c>
      <c r="B60" s="13" t="s">
        <v>86</v>
      </c>
      <c r="C60" s="13" t="s">
        <v>76</v>
      </c>
      <c r="D60" s="13" t="s">
        <v>251</v>
      </c>
      <c r="E60" s="3" t="s">
        <v>252</v>
      </c>
      <c r="F60" s="13" t="s">
        <v>117</v>
      </c>
      <c r="G60" s="13" t="s">
        <v>80</v>
      </c>
      <c r="H60" s="13">
        <v>0</v>
      </c>
      <c r="I60" s="13">
        <v>0</v>
      </c>
      <c r="J60" s="13" t="s">
        <v>253</v>
      </c>
      <c r="K60" s="13" t="s">
        <v>119</v>
      </c>
      <c r="L60" s="15" t="s">
        <v>28</v>
      </c>
      <c r="M60" s="15" t="s">
        <v>49</v>
      </c>
      <c r="N60" s="3"/>
    </row>
    <row r="61" spans="1:14" ht="25" x14ac:dyDescent="0.35">
      <c r="A61" s="13">
        <v>60</v>
      </c>
      <c r="B61" s="13" t="s">
        <v>86</v>
      </c>
      <c r="C61" s="13" t="s">
        <v>76</v>
      </c>
      <c r="D61" s="13" t="s">
        <v>254</v>
      </c>
      <c r="E61" s="3" t="s">
        <v>255</v>
      </c>
      <c r="F61" s="13" t="s">
        <v>117</v>
      </c>
      <c r="G61" s="13" t="s">
        <v>80</v>
      </c>
      <c r="H61" s="13">
        <v>18</v>
      </c>
      <c r="I61" s="13">
        <v>14</v>
      </c>
      <c r="J61" s="13" t="s">
        <v>256</v>
      </c>
      <c r="K61" s="13" t="s">
        <v>119</v>
      </c>
      <c r="L61" s="15" t="s">
        <v>24</v>
      </c>
      <c r="M61" s="15" t="s">
        <v>46</v>
      </c>
      <c r="N61" s="3"/>
    </row>
    <row r="62" spans="1:14" ht="25" x14ac:dyDescent="0.35">
      <c r="A62" s="13">
        <v>61</v>
      </c>
      <c r="B62" s="13" t="s">
        <v>86</v>
      </c>
      <c r="C62" s="13" t="s">
        <v>76</v>
      </c>
      <c r="D62" s="13" t="s">
        <v>257</v>
      </c>
      <c r="E62" s="3" t="s">
        <v>258</v>
      </c>
      <c r="F62" s="13" t="s">
        <v>117</v>
      </c>
      <c r="G62" s="13" t="s">
        <v>84</v>
      </c>
      <c r="H62" s="13">
        <v>1</v>
      </c>
      <c r="I62" s="13">
        <v>0</v>
      </c>
      <c r="J62" s="13" t="s">
        <v>259</v>
      </c>
      <c r="K62" s="13" t="s">
        <v>119</v>
      </c>
      <c r="L62" s="15" t="s">
        <v>24</v>
      </c>
      <c r="M62" s="15" t="s">
        <v>46</v>
      </c>
      <c r="N62" s="3"/>
    </row>
    <row r="63" spans="1:14" x14ac:dyDescent="0.35">
      <c r="A63" s="13">
        <v>62</v>
      </c>
      <c r="B63" s="13" t="s">
        <v>86</v>
      </c>
      <c r="C63" s="13" t="s">
        <v>76</v>
      </c>
      <c r="D63" s="13" t="s">
        <v>260</v>
      </c>
      <c r="E63" s="3" t="s">
        <v>261</v>
      </c>
      <c r="F63" s="13" t="s">
        <v>117</v>
      </c>
      <c r="G63" s="13" t="s">
        <v>84</v>
      </c>
      <c r="H63" s="13">
        <v>0</v>
      </c>
      <c r="I63" s="13">
        <v>0</v>
      </c>
      <c r="J63" s="13" t="s">
        <v>262</v>
      </c>
      <c r="K63" s="13" t="s">
        <v>119</v>
      </c>
      <c r="L63" s="15" t="s">
        <v>32</v>
      </c>
      <c r="M63" s="15" t="s">
        <v>49</v>
      </c>
      <c r="N63" s="3"/>
    </row>
    <row r="64" spans="1:14" x14ac:dyDescent="0.35">
      <c r="A64" s="13">
        <v>63</v>
      </c>
      <c r="B64" s="13" t="s">
        <v>86</v>
      </c>
      <c r="C64" s="13" t="s">
        <v>76</v>
      </c>
      <c r="D64" s="13" t="s">
        <v>263</v>
      </c>
      <c r="E64" s="3" t="s">
        <v>264</v>
      </c>
      <c r="F64" s="13" t="s">
        <v>117</v>
      </c>
      <c r="G64" s="13" t="s">
        <v>80</v>
      </c>
      <c r="H64" s="13">
        <v>0</v>
      </c>
      <c r="I64" s="13">
        <v>0</v>
      </c>
      <c r="J64" s="13" t="s">
        <v>265</v>
      </c>
      <c r="K64" s="13" t="s">
        <v>119</v>
      </c>
      <c r="L64" s="15" t="s">
        <v>12</v>
      </c>
      <c r="M64" s="15" t="s">
        <v>49</v>
      </c>
      <c r="N64" s="3"/>
    </row>
    <row r="65" spans="1:14" x14ac:dyDescent="0.35">
      <c r="A65" s="13">
        <v>64</v>
      </c>
      <c r="B65" s="13" t="s">
        <v>86</v>
      </c>
      <c r="C65" s="13" t="s">
        <v>76</v>
      </c>
      <c r="D65" s="13" t="s">
        <v>266</v>
      </c>
      <c r="E65" s="3" t="s">
        <v>267</v>
      </c>
      <c r="F65" s="13" t="s">
        <v>117</v>
      </c>
      <c r="G65" s="13" t="s">
        <v>80</v>
      </c>
      <c r="H65" s="13">
        <v>1</v>
      </c>
      <c r="I65" s="13">
        <v>0</v>
      </c>
      <c r="J65" s="13" t="s">
        <v>268</v>
      </c>
      <c r="K65" s="13" t="s">
        <v>119</v>
      </c>
      <c r="L65" s="15" t="s">
        <v>24</v>
      </c>
      <c r="M65" s="15" t="s">
        <v>46</v>
      </c>
      <c r="N65" s="3"/>
    </row>
    <row r="66" spans="1:14" x14ac:dyDescent="0.35">
      <c r="A66" s="13">
        <v>65</v>
      </c>
      <c r="B66" s="13" t="s">
        <v>86</v>
      </c>
      <c r="C66" s="13" t="s">
        <v>76</v>
      </c>
      <c r="D66" s="13" t="s">
        <v>269</v>
      </c>
      <c r="E66" s="3" t="s">
        <v>270</v>
      </c>
      <c r="F66" s="13" t="s">
        <v>117</v>
      </c>
      <c r="G66" s="13" t="s">
        <v>80</v>
      </c>
      <c r="H66" s="13">
        <v>0</v>
      </c>
      <c r="I66" s="13">
        <v>0</v>
      </c>
      <c r="J66" s="13" t="s">
        <v>271</v>
      </c>
      <c r="K66" s="13" t="s">
        <v>119</v>
      </c>
      <c r="L66" s="15" t="s">
        <v>8</v>
      </c>
      <c r="M66" s="15" t="s">
        <v>43</v>
      </c>
      <c r="N66" s="3"/>
    </row>
    <row r="67" spans="1:14" x14ac:dyDescent="0.35">
      <c r="A67" s="13">
        <v>66</v>
      </c>
      <c r="B67" s="13" t="s">
        <v>86</v>
      </c>
      <c r="C67" s="13" t="s">
        <v>76</v>
      </c>
      <c r="D67" s="13" t="s">
        <v>272</v>
      </c>
      <c r="E67" s="3" t="s">
        <v>273</v>
      </c>
      <c r="F67" s="13" t="s">
        <v>117</v>
      </c>
      <c r="G67" s="13" t="s">
        <v>80</v>
      </c>
      <c r="H67" s="13">
        <v>1</v>
      </c>
      <c r="I67" s="13">
        <v>0</v>
      </c>
      <c r="J67" s="13" t="s">
        <v>274</v>
      </c>
      <c r="K67" s="13" t="s">
        <v>119</v>
      </c>
      <c r="L67" s="15" t="s">
        <v>16</v>
      </c>
      <c r="M67" s="15" t="s">
        <v>49</v>
      </c>
      <c r="N67" s="3"/>
    </row>
    <row r="68" spans="1:14" x14ac:dyDescent="0.35">
      <c r="A68" s="13">
        <v>67</v>
      </c>
      <c r="B68" s="13" t="s">
        <v>86</v>
      </c>
      <c r="C68" s="13" t="s">
        <v>76</v>
      </c>
      <c r="D68" s="13" t="s">
        <v>275</v>
      </c>
      <c r="E68" s="3" t="s">
        <v>276</v>
      </c>
      <c r="F68" s="13" t="s">
        <v>117</v>
      </c>
      <c r="G68" s="13" t="s">
        <v>80</v>
      </c>
      <c r="H68" s="13">
        <v>0</v>
      </c>
      <c r="I68" s="13">
        <v>0</v>
      </c>
      <c r="J68" s="13" t="s">
        <v>277</v>
      </c>
      <c r="K68" s="13" t="s">
        <v>119</v>
      </c>
      <c r="L68" s="15" t="s">
        <v>16</v>
      </c>
      <c r="M68" s="15" t="s">
        <v>49</v>
      </c>
      <c r="N68" s="3"/>
    </row>
    <row r="69" spans="1:14" x14ac:dyDescent="0.35">
      <c r="A69" s="13">
        <v>68</v>
      </c>
      <c r="B69" s="13" t="s">
        <v>86</v>
      </c>
      <c r="C69" s="13" t="s">
        <v>76</v>
      </c>
      <c r="D69" s="13" t="s">
        <v>278</v>
      </c>
      <c r="E69" s="3" t="s">
        <v>279</v>
      </c>
      <c r="F69" s="13" t="s">
        <v>117</v>
      </c>
      <c r="G69" s="13" t="s">
        <v>80</v>
      </c>
      <c r="H69" s="13">
        <v>1</v>
      </c>
      <c r="I69" s="13">
        <v>0</v>
      </c>
      <c r="J69" s="13" t="s">
        <v>280</v>
      </c>
      <c r="K69" s="13" t="s">
        <v>119</v>
      </c>
      <c r="L69" s="15" t="s">
        <v>8</v>
      </c>
      <c r="M69" s="15" t="s">
        <v>43</v>
      </c>
      <c r="N69" s="3"/>
    </row>
    <row r="70" spans="1:14" x14ac:dyDescent="0.35">
      <c r="A70" s="13">
        <v>69</v>
      </c>
      <c r="B70" s="13" t="s">
        <v>86</v>
      </c>
      <c r="C70" s="13" t="s">
        <v>76</v>
      </c>
      <c r="D70" s="13" t="s">
        <v>281</v>
      </c>
      <c r="E70" s="3" t="s">
        <v>282</v>
      </c>
      <c r="F70" s="13" t="s">
        <v>117</v>
      </c>
      <c r="G70" s="13" t="s">
        <v>84</v>
      </c>
      <c r="H70" s="13">
        <v>2</v>
      </c>
      <c r="I70" s="13">
        <v>0</v>
      </c>
      <c r="J70" s="13" t="s">
        <v>283</v>
      </c>
      <c r="K70" s="13" t="s">
        <v>119</v>
      </c>
      <c r="L70" s="15" t="s">
        <v>20</v>
      </c>
      <c r="M70" s="15" t="s">
        <v>49</v>
      </c>
      <c r="N70" s="3"/>
    </row>
    <row r="71" spans="1:14" x14ac:dyDescent="0.35">
      <c r="A71" s="13">
        <v>70</v>
      </c>
      <c r="B71" s="13" t="s">
        <v>86</v>
      </c>
      <c r="C71" s="13" t="s">
        <v>76</v>
      </c>
      <c r="D71" s="13" t="s">
        <v>284</v>
      </c>
      <c r="E71" s="3" t="s">
        <v>285</v>
      </c>
      <c r="F71" s="13" t="s">
        <v>117</v>
      </c>
      <c r="G71" s="13" t="s">
        <v>80</v>
      </c>
      <c r="H71" s="13">
        <v>0</v>
      </c>
      <c r="I71" s="13">
        <v>0</v>
      </c>
      <c r="J71" s="13" t="s">
        <v>286</v>
      </c>
      <c r="K71" s="13" t="s">
        <v>119</v>
      </c>
      <c r="L71" s="15" t="s">
        <v>12</v>
      </c>
      <c r="M71" s="15" t="s">
        <v>49</v>
      </c>
      <c r="N71" s="3"/>
    </row>
    <row r="72" spans="1:14" x14ac:dyDescent="0.35">
      <c r="A72" s="13">
        <v>71</v>
      </c>
      <c r="B72" s="13" t="s">
        <v>86</v>
      </c>
      <c r="C72" s="13" t="s">
        <v>76</v>
      </c>
      <c r="D72" s="13" t="s">
        <v>287</v>
      </c>
      <c r="E72" s="3" t="s">
        <v>288</v>
      </c>
      <c r="F72" s="13" t="s">
        <v>117</v>
      </c>
      <c r="G72" s="13" t="s">
        <v>80</v>
      </c>
      <c r="H72" s="13">
        <v>9</v>
      </c>
      <c r="I72" s="13">
        <v>3</v>
      </c>
      <c r="J72" s="13" t="s">
        <v>289</v>
      </c>
      <c r="K72" s="13" t="s">
        <v>119</v>
      </c>
      <c r="L72" s="15" t="s">
        <v>24</v>
      </c>
      <c r="M72" s="15" t="s">
        <v>46</v>
      </c>
      <c r="N72" s="3"/>
    </row>
    <row r="73" spans="1:14" ht="37.5" x14ac:dyDescent="0.35">
      <c r="A73" s="13">
        <v>72</v>
      </c>
      <c r="B73" s="13" t="s">
        <v>86</v>
      </c>
      <c r="C73" s="13" t="s">
        <v>76</v>
      </c>
      <c r="D73" s="13" t="s">
        <v>171</v>
      </c>
      <c r="E73" s="3" t="s">
        <v>290</v>
      </c>
      <c r="F73" s="13" t="s">
        <v>117</v>
      </c>
      <c r="G73" s="13" t="s">
        <v>84</v>
      </c>
      <c r="H73" s="13">
        <v>1</v>
      </c>
      <c r="I73" s="13">
        <v>0</v>
      </c>
      <c r="J73" s="13" t="s">
        <v>291</v>
      </c>
      <c r="K73" s="13" t="s">
        <v>119</v>
      </c>
      <c r="L73" s="15" t="s">
        <v>32</v>
      </c>
      <c r="M73" s="15" t="s">
        <v>49</v>
      </c>
      <c r="N73" s="3"/>
    </row>
    <row r="74" spans="1:14" ht="25" x14ac:dyDescent="0.35">
      <c r="A74" s="13">
        <v>73</v>
      </c>
      <c r="B74" s="13" t="s">
        <v>86</v>
      </c>
      <c r="C74" s="13" t="s">
        <v>76</v>
      </c>
      <c r="D74" s="13" t="s">
        <v>292</v>
      </c>
      <c r="E74" s="3" t="s">
        <v>293</v>
      </c>
      <c r="F74" s="13" t="s">
        <v>117</v>
      </c>
      <c r="G74" s="13" t="s">
        <v>84</v>
      </c>
      <c r="H74" s="13">
        <v>1</v>
      </c>
      <c r="I74" s="13">
        <v>2</v>
      </c>
      <c r="J74" s="13" t="s">
        <v>294</v>
      </c>
      <c r="K74" s="13" t="s">
        <v>119</v>
      </c>
      <c r="L74" s="15" t="s">
        <v>24</v>
      </c>
      <c r="M74" s="15" t="s">
        <v>46</v>
      </c>
      <c r="N74" s="3"/>
    </row>
    <row r="75" spans="1:14" x14ac:dyDescent="0.35">
      <c r="A75" s="13">
        <v>74</v>
      </c>
      <c r="B75" s="13" t="s">
        <v>86</v>
      </c>
      <c r="C75" s="13" t="s">
        <v>76</v>
      </c>
      <c r="D75" s="13" t="s">
        <v>295</v>
      </c>
      <c r="E75" s="3" t="s">
        <v>296</v>
      </c>
      <c r="F75" s="13" t="s">
        <v>117</v>
      </c>
      <c r="G75" s="13" t="s">
        <v>80</v>
      </c>
      <c r="H75" s="13">
        <v>0</v>
      </c>
      <c r="I75" s="13">
        <v>0</v>
      </c>
      <c r="J75" s="13" t="s">
        <v>297</v>
      </c>
      <c r="K75" s="13" t="s">
        <v>119</v>
      </c>
      <c r="L75" s="15" t="s">
        <v>8</v>
      </c>
      <c r="M75" s="15" t="s">
        <v>43</v>
      </c>
      <c r="N75" s="3"/>
    </row>
    <row r="76" spans="1:14" x14ac:dyDescent="0.35">
      <c r="A76" s="13">
        <v>75</v>
      </c>
      <c r="B76" s="13" t="s">
        <v>86</v>
      </c>
      <c r="C76" s="13" t="s">
        <v>76</v>
      </c>
      <c r="D76" s="13" t="s">
        <v>298</v>
      </c>
      <c r="E76" s="3" t="s">
        <v>299</v>
      </c>
      <c r="F76" s="13" t="s">
        <v>117</v>
      </c>
      <c r="G76" s="13" t="s">
        <v>80</v>
      </c>
      <c r="H76" s="13">
        <v>0</v>
      </c>
      <c r="I76" s="13">
        <v>1</v>
      </c>
      <c r="J76" s="13" t="s">
        <v>300</v>
      </c>
      <c r="K76" s="13" t="s">
        <v>119</v>
      </c>
      <c r="L76" s="15" t="s">
        <v>36</v>
      </c>
      <c r="M76" s="15" t="s">
        <v>49</v>
      </c>
      <c r="N76" s="3"/>
    </row>
    <row r="77" spans="1:14" x14ac:dyDescent="0.35">
      <c r="A77" s="13">
        <v>76</v>
      </c>
      <c r="B77" s="13" t="s">
        <v>86</v>
      </c>
      <c r="C77" s="13" t="s">
        <v>76</v>
      </c>
      <c r="D77" s="13" t="s">
        <v>301</v>
      </c>
      <c r="E77" s="3" t="s">
        <v>302</v>
      </c>
      <c r="F77" s="13" t="s">
        <v>117</v>
      </c>
      <c r="G77" s="13" t="s">
        <v>80</v>
      </c>
      <c r="H77" s="13">
        <v>1</v>
      </c>
      <c r="I77" s="13">
        <v>0</v>
      </c>
      <c r="J77" s="13" t="s">
        <v>303</v>
      </c>
      <c r="K77" s="13" t="s">
        <v>119</v>
      </c>
      <c r="L77" s="15" t="s">
        <v>12</v>
      </c>
      <c r="M77" s="15" t="s">
        <v>43</v>
      </c>
      <c r="N77" s="3"/>
    </row>
    <row r="78" spans="1:14" x14ac:dyDescent="0.35">
      <c r="A78" s="13">
        <v>77</v>
      </c>
      <c r="B78" s="13" t="s">
        <v>86</v>
      </c>
      <c r="C78" s="13" t="s">
        <v>76</v>
      </c>
      <c r="D78" s="13" t="s">
        <v>304</v>
      </c>
      <c r="E78" s="3" t="s">
        <v>305</v>
      </c>
      <c r="F78" s="13" t="s">
        <v>117</v>
      </c>
      <c r="G78" s="13" t="s">
        <v>80</v>
      </c>
      <c r="H78" s="13">
        <v>0</v>
      </c>
      <c r="I78" s="13">
        <v>0</v>
      </c>
      <c r="J78" s="13" t="s">
        <v>306</v>
      </c>
      <c r="K78" s="13" t="s">
        <v>119</v>
      </c>
      <c r="L78" s="15" t="s">
        <v>28</v>
      </c>
      <c r="M78" s="15" t="s">
        <v>49</v>
      </c>
      <c r="N78" s="3"/>
    </row>
    <row r="79" spans="1:14" x14ac:dyDescent="0.35">
      <c r="A79" s="13">
        <v>78</v>
      </c>
      <c r="B79" s="13" t="s">
        <v>86</v>
      </c>
      <c r="C79" s="13" t="s">
        <v>76</v>
      </c>
      <c r="D79" s="13" t="s">
        <v>307</v>
      </c>
      <c r="E79" s="3" t="s">
        <v>308</v>
      </c>
      <c r="F79" s="13" t="s">
        <v>117</v>
      </c>
      <c r="G79" s="13" t="s">
        <v>84</v>
      </c>
      <c r="H79" s="13">
        <v>0</v>
      </c>
      <c r="I79" s="13">
        <v>0</v>
      </c>
      <c r="J79" s="13" t="s">
        <v>309</v>
      </c>
      <c r="K79" s="13" t="s">
        <v>119</v>
      </c>
      <c r="L79" s="15" t="s">
        <v>32</v>
      </c>
      <c r="M79" s="15" t="s">
        <v>49</v>
      </c>
      <c r="N79" s="3"/>
    </row>
    <row r="80" spans="1:14" x14ac:dyDescent="0.35">
      <c r="A80" s="13">
        <v>79</v>
      </c>
      <c r="B80" s="13" t="s">
        <v>86</v>
      </c>
      <c r="C80" s="13" t="s">
        <v>76</v>
      </c>
      <c r="D80" s="13" t="s">
        <v>310</v>
      </c>
      <c r="E80" s="3" t="s">
        <v>311</v>
      </c>
      <c r="F80" s="13" t="s">
        <v>117</v>
      </c>
      <c r="G80" s="13" t="s">
        <v>84</v>
      </c>
      <c r="H80" s="13">
        <v>0</v>
      </c>
      <c r="I80" s="13">
        <v>0</v>
      </c>
      <c r="J80" s="13" t="s">
        <v>312</v>
      </c>
      <c r="K80" s="13" t="s">
        <v>119</v>
      </c>
      <c r="L80" s="15" t="s">
        <v>32</v>
      </c>
      <c r="M80" s="15" t="s">
        <v>49</v>
      </c>
      <c r="N80" s="3"/>
    </row>
    <row r="81" spans="1:14" x14ac:dyDescent="0.35">
      <c r="A81" s="13">
        <v>80</v>
      </c>
      <c r="B81" s="13" t="s">
        <v>86</v>
      </c>
      <c r="C81" s="13" t="s">
        <v>76</v>
      </c>
      <c r="D81" s="13" t="s">
        <v>310</v>
      </c>
      <c r="E81" s="3" t="s">
        <v>313</v>
      </c>
      <c r="F81" s="13" t="s">
        <v>117</v>
      </c>
      <c r="G81" s="13" t="s">
        <v>84</v>
      </c>
      <c r="H81" s="13">
        <v>0</v>
      </c>
      <c r="I81" s="13">
        <v>1</v>
      </c>
      <c r="J81" s="13" t="s">
        <v>314</v>
      </c>
      <c r="K81" s="13" t="s">
        <v>119</v>
      </c>
      <c r="L81" s="15" t="s">
        <v>32</v>
      </c>
      <c r="M81" s="15" t="s">
        <v>49</v>
      </c>
      <c r="N81" s="3"/>
    </row>
    <row r="82" spans="1:14" x14ac:dyDescent="0.35">
      <c r="A82" s="13">
        <v>81</v>
      </c>
      <c r="B82" s="13" t="s">
        <v>86</v>
      </c>
      <c r="C82" s="13" t="s">
        <v>76</v>
      </c>
      <c r="D82" s="13" t="s">
        <v>315</v>
      </c>
      <c r="E82" s="3" t="s">
        <v>139</v>
      </c>
      <c r="F82" s="13" t="s">
        <v>117</v>
      </c>
      <c r="G82" s="13" t="s">
        <v>80</v>
      </c>
      <c r="H82" s="13">
        <v>0</v>
      </c>
      <c r="I82" s="13">
        <v>0</v>
      </c>
      <c r="J82" s="13" t="s">
        <v>316</v>
      </c>
      <c r="K82" s="13" t="s">
        <v>119</v>
      </c>
      <c r="L82" s="15" t="s">
        <v>12</v>
      </c>
      <c r="M82" s="15" t="s">
        <v>49</v>
      </c>
      <c r="N82" s="3"/>
    </row>
    <row r="83" spans="1:14" x14ac:dyDescent="0.35">
      <c r="A83" s="13">
        <v>82</v>
      </c>
      <c r="B83" s="13" t="s">
        <v>86</v>
      </c>
      <c r="C83" s="13" t="s">
        <v>76</v>
      </c>
      <c r="D83" s="13" t="s">
        <v>317</v>
      </c>
      <c r="E83" s="3" t="s">
        <v>318</v>
      </c>
      <c r="F83" s="13" t="s">
        <v>117</v>
      </c>
      <c r="G83" s="13" t="s">
        <v>80</v>
      </c>
      <c r="H83" s="13">
        <v>2</v>
      </c>
      <c r="I83" s="13">
        <v>0</v>
      </c>
      <c r="J83" s="13" t="s">
        <v>319</v>
      </c>
      <c r="K83" s="13" t="s">
        <v>119</v>
      </c>
      <c r="L83" s="15" t="s">
        <v>16</v>
      </c>
      <c r="M83" s="15" t="s">
        <v>49</v>
      </c>
      <c r="N83" s="3"/>
    </row>
    <row r="84" spans="1:14" x14ac:dyDescent="0.35">
      <c r="A84" s="13">
        <v>83</v>
      </c>
      <c r="B84" s="13" t="s">
        <v>86</v>
      </c>
      <c r="C84" s="13" t="s">
        <v>76</v>
      </c>
      <c r="D84" s="13" t="s">
        <v>320</v>
      </c>
      <c r="E84" s="3" t="s">
        <v>321</v>
      </c>
      <c r="F84" s="13" t="s">
        <v>117</v>
      </c>
      <c r="G84" s="13" t="s">
        <v>80</v>
      </c>
      <c r="H84" s="13">
        <v>0</v>
      </c>
      <c r="I84" s="13">
        <v>1</v>
      </c>
      <c r="J84" s="13" t="s">
        <v>322</v>
      </c>
      <c r="K84" s="13" t="s">
        <v>119</v>
      </c>
      <c r="L84" s="15" t="s">
        <v>16</v>
      </c>
      <c r="M84" s="15" t="s">
        <v>49</v>
      </c>
      <c r="N84" s="3"/>
    </row>
    <row r="85" spans="1:14" x14ac:dyDescent="0.35">
      <c r="A85" s="13">
        <v>84</v>
      </c>
      <c r="B85" s="13" t="s">
        <v>86</v>
      </c>
      <c r="C85" s="13" t="s">
        <v>76</v>
      </c>
      <c r="D85" s="13" t="s">
        <v>323</v>
      </c>
      <c r="E85" s="3" t="s">
        <v>324</v>
      </c>
      <c r="F85" s="13" t="s">
        <v>117</v>
      </c>
      <c r="G85" s="13" t="s">
        <v>80</v>
      </c>
      <c r="H85" s="13">
        <v>2</v>
      </c>
      <c r="I85" s="13">
        <v>1</v>
      </c>
      <c r="J85" s="13" t="s">
        <v>325</v>
      </c>
      <c r="K85" s="13" t="s">
        <v>119</v>
      </c>
      <c r="L85" s="15" t="s">
        <v>16</v>
      </c>
      <c r="M85" s="15" t="s">
        <v>49</v>
      </c>
      <c r="N85" s="3"/>
    </row>
    <row r="86" spans="1:14" ht="162.5" x14ac:dyDescent="0.35">
      <c r="A86" s="13">
        <v>85</v>
      </c>
      <c r="B86" s="13" t="s">
        <v>86</v>
      </c>
      <c r="C86" s="13" t="s">
        <v>76</v>
      </c>
      <c r="D86" s="13" t="s">
        <v>326</v>
      </c>
      <c r="E86" s="3" t="s">
        <v>327</v>
      </c>
      <c r="F86" s="13" t="s">
        <v>117</v>
      </c>
      <c r="G86" s="13" t="s">
        <v>80</v>
      </c>
      <c r="H86" s="13">
        <v>5</v>
      </c>
      <c r="I86" s="13">
        <v>6</v>
      </c>
      <c r="J86" s="13" t="s">
        <v>328</v>
      </c>
      <c r="K86" s="13" t="s">
        <v>119</v>
      </c>
      <c r="L86" s="15" t="s">
        <v>36</v>
      </c>
      <c r="M86" s="15" t="s">
        <v>46</v>
      </c>
      <c r="N86" s="3"/>
    </row>
    <row r="87" spans="1:14" x14ac:dyDescent="0.35">
      <c r="A87" s="13">
        <v>86</v>
      </c>
      <c r="B87" s="13" t="s">
        <v>86</v>
      </c>
      <c r="C87" s="13" t="s">
        <v>76</v>
      </c>
      <c r="D87" s="13" t="s">
        <v>329</v>
      </c>
      <c r="E87" s="3" t="s">
        <v>330</v>
      </c>
      <c r="F87" s="13" t="s">
        <v>117</v>
      </c>
      <c r="G87" s="13" t="s">
        <v>80</v>
      </c>
      <c r="H87" s="13">
        <v>0</v>
      </c>
      <c r="I87" s="13">
        <v>0</v>
      </c>
      <c r="J87" s="13" t="s">
        <v>331</v>
      </c>
      <c r="K87" s="13" t="s">
        <v>119</v>
      </c>
      <c r="L87" s="15" t="s">
        <v>12</v>
      </c>
      <c r="M87" s="15" t="s">
        <v>49</v>
      </c>
      <c r="N87" s="3"/>
    </row>
    <row r="88" spans="1:14" x14ac:dyDescent="0.35">
      <c r="A88" s="13">
        <v>87</v>
      </c>
      <c r="B88" s="13" t="s">
        <v>86</v>
      </c>
      <c r="C88" s="13" t="s">
        <v>76</v>
      </c>
      <c r="D88" s="13" t="s">
        <v>156</v>
      </c>
      <c r="E88" s="3" t="s">
        <v>332</v>
      </c>
      <c r="F88" s="13" t="s">
        <v>117</v>
      </c>
      <c r="G88" s="13" t="s">
        <v>80</v>
      </c>
      <c r="H88" s="13">
        <v>0</v>
      </c>
      <c r="I88" s="13">
        <v>0</v>
      </c>
      <c r="J88" s="13" t="s">
        <v>333</v>
      </c>
      <c r="K88" s="13" t="s">
        <v>119</v>
      </c>
      <c r="L88" s="15" t="s">
        <v>28</v>
      </c>
      <c r="M88" s="15" t="s">
        <v>49</v>
      </c>
      <c r="N88" s="3"/>
    </row>
    <row r="89" spans="1:14" x14ac:dyDescent="0.35">
      <c r="A89" s="13">
        <v>88</v>
      </c>
      <c r="B89" s="13" t="s">
        <v>86</v>
      </c>
      <c r="C89" s="13" t="s">
        <v>76</v>
      </c>
      <c r="D89" s="13" t="s">
        <v>334</v>
      </c>
      <c r="E89" s="3" t="s">
        <v>335</v>
      </c>
      <c r="F89" s="13" t="s">
        <v>117</v>
      </c>
      <c r="G89" s="13" t="s">
        <v>84</v>
      </c>
      <c r="H89" s="13">
        <v>0</v>
      </c>
      <c r="I89" s="13">
        <v>0</v>
      </c>
      <c r="J89" s="13" t="s">
        <v>336</v>
      </c>
      <c r="K89" s="13" t="s">
        <v>119</v>
      </c>
      <c r="L89" s="15" t="s">
        <v>32</v>
      </c>
      <c r="M89" s="15" t="s">
        <v>49</v>
      </c>
      <c r="N89" s="3"/>
    </row>
    <row r="90" spans="1:14" ht="25" x14ac:dyDescent="0.35">
      <c r="A90" s="13">
        <v>89</v>
      </c>
      <c r="B90" s="13" t="s">
        <v>86</v>
      </c>
      <c r="C90" s="13" t="s">
        <v>76</v>
      </c>
      <c r="D90" s="13" t="s">
        <v>337</v>
      </c>
      <c r="E90" s="3" t="s">
        <v>338</v>
      </c>
      <c r="F90" s="13" t="s">
        <v>117</v>
      </c>
      <c r="G90" s="13" t="s">
        <v>80</v>
      </c>
      <c r="H90" s="13">
        <v>0</v>
      </c>
      <c r="I90" s="13">
        <v>0</v>
      </c>
      <c r="J90" s="13" t="s">
        <v>339</v>
      </c>
      <c r="K90" s="13" t="s">
        <v>119</v>
      </c>
      <c r="L90" s="15" t="s">
        <v>16</v>
      </c>
      <c r="M90" s="15" t="s">
        <v>49</v>
      </c>
      <c r="N90" s="3"/>
    </row>
    <row r="91" spans="1:14" x14ac:dyDescent="0.35">
      <c r="A91" s="13">
        <v>90</v>
      </c>
      <c r="B91" s="13" t="s">
        <v>86</v>
      </c>
      <c r="C91" s="13" t="s">
        <v>76</v>
      </c>
      <c r="D91" s="13" t="s">
        <v>340</v>
      </c>
      <c r="E91" s="3" t="s">
        <v>341</v>
      </c>
      <c r="F91" s="13" t="s">
        <v>117</v>
      </c>
      <c r="G91" s="13" t="s">
        <v>80</v>
      </c>
      <c r="H91" s="13">
        <v>0</v>
      </c>
      <c r="I91" s="13">
        <v>0</v>
      </c>
      <c r="J91" s="13" t="s">
        <v>342</v>
      </c>
      <c r="K91" s="13" t="s">
        <v>119</v>
      </c>
      <c r="L91" s="15" t="s">
        <v>24</v>
      </c>
      <c r="M91" s="15" t="s">
        <v>46</v>
      </c>
      <c r="N91" s="3"/>
    </row>
    <row r="92" spans="1:14" ht="25" x14ac:dyDescent="0.35">
      <c r="A92" s="13">
        <v>91</v>
      </c>
      <c r="B92" s="13" t="s">
        <v>86</v>
      </c>
      <c r="C92" s="13" t="s">
        <v>76</v>
      </c>
      <c r="D92" s="13" t="s">
        <v>340</v>
      </c>
      <c r="E92" s="3" t="s">
        <v>343</v>
      </c>
      <c r="F92" s="13" t="s">
        <v>117</v>
      </c>
      <c r="G92" s="13" t="s">
        <v>84</v>
      </c>
      <c r="H92" s="13">
        <v>0</v>
      </c>
      <c r="I92" s="13">
        <v>0</v>
      </c>
      <c r="J92" s="13" t="s">
        <v>344</v>
      </c>
      <c r="K92" s="13" t="s">
        <v>119</v>
      </c>
      <c r="L92" s="15" t="s">
        <v>36</v>
      </c>
      <c r="M92" s="15" t="s">
        <v>49</v>
      </c>
      <c r="N92" s="3"/>
    </row>
    <row r="93" spans="1:14" x14ac:dyDescent="0.35">
      <c r="A93" s="13">
        <v>92</v>
      </c>
      <c r="B93" s="13" t="s">
        <v>86</v>
      </c>
      <c r="C93" s="13" t="s">
        <v>76</v>
      </c>
      <c r="D93" s="13" t="s">
        <v>345</v>
      </c>
      <c r="E93" s="3" t="s">
        <v>346</v>
      </c>
      <c r="F93" s="13" t="s">
        <v>117</v>
      </c>
      <c r="G93" s="13" t="s">
        <v>80</v>
      </c>
      <c r="H93" s="13">
        <v>0</v>
      </c>
      <c r="I93" s="13">
        <v>0</v>
      </c>
      <c r="J93" s="13" t="s">
        <v>347</v>
      </c>
      <c r="K93" s="13" t="s">
        <v>119</v>
      </c>
      <c r="L93" s="15" t="s">
        <v>8</v>
      </c>
      <c r="M93" s="15" t="s">
        <v>43</v>
      </c>
      <c r="N93" s="3"/>
    </row>
    <row r="94" spans="1:14" x14ac:dyDescent="0.35">
      <c r="A94" s="13">
        <v>93</v>
      </c>
      <c r="B94" s="13" t="s">
        <v>86</v>
      </c>
      <c r="C94" s="13" t="s">
        <v>76</v>
      </c>
      <c r="D94" s="13" t="s">
        <v>340</v>
      </c>
      <c r="E94" s="3" t="s">
        <v>348</v>
      </c>
      <c r="F94" s="13" t="s">
        <v>117</v>
      </c>
      <c r="G94" s="13" t="s">
        <v>80</v>
      </c>
      <c r="H94" s="13">
        <v>0</v>
      </c>
      <c r="I94" s="13">
        <v>0</v>
      </c>
      <c r="J94" s="13" t="s">
        <v>349</v>
      </c>
      <c r="K94" s="13" t="s">
        <v>119</v>
      </c>
      <c r="L94" s="15" t="s">
        <v>8</v>
      </c>
      <c r="M94" s="15" t="s">
        <v>43</v>
      </c>
      <c r="N94" s="3"/>
    </row>
    <row r="95" spans="1:14" x14ac:dyDescent="0.35">
      <c r="A95" s="13">
        <v>94</v>
      </c>
      <c r="B95" s="13" t="s">
        <v>86</v>
      </c>
      <c r="C95" s="13" t="s">
        <v>76</v>
      </c>
      <c r="D95" s="13" t="s">
        <v>350</v>
      </c>
      <c r="E95" s="3" t="s">
        <v>351</v>
      </c>
      <c r="F95" s="13" t="s">
        <v>117</v>
      </c>
      <c r="G95" s="13" t="s">
        <v>84</v>
      </c>
      <c r="H95" s="13">
        <v>1</v>
      </c>
      <c r="I95" s="13">
        <v>2</v>
      </c>
      <c r="J95" s="13" t="s">
        <v>352</v>
      </c>
      <c r="K95" s="13" t="s">
        <v>119</v>
      </c>
      <c r="L95" s="15" t="s">
        <v>24</v>
      </c>
      <c r="M95" s="15" t="s">
        <v>46</v>
      </c>
      <c r="N95" s="3"/>
    </row>
    <row r="96" spans="1:14" x14ac:dyDescent="0.35">
      <c r="A96" s="13">
        <v>95</v>
      </c>
      <c r="B96" s="13" t="s">
        <v>86</v>
      </c>
      <c r="C96" s="13" t="s">
        <v>76</v>
      </c>
      <c r="D96" s="13" t="s">
        <v>353</v>
      </c>
      <c r="E96" s="3" t="s">
        <v>354</v>
      </c>
      <c r="F96" s="13" t="s">
        <v>117</v>
      </c>
      <c r="G96" s="13" t="s">
        <v>80</v>
      </c>
      <c r="H96" s="13">
        <v>0</v>
      </c>
      <c r="I96" s="13">
        <v>0</v>
      </c>
      <c r="J96" s="13" t="s">
        <v>355</v>
      </c>
      <c r="K96" s="13" t="s">
        <v>119</v>
      </c>
      <c r="L96" s="15" t="s">
        <v>20</v>
      </c>
      <c r="M96" s="15" t="s">
        <v>49</v>
      </c>
      <c r="N96" s="3"/>
    </row>
    <row r="97" spans="1:14" x14ac:dyDescent="0.35">
      <c r="A97" s="13">
        <v>96</v>
      </c>
      <c r="B97" s="13" t="s">
        <v>86</v>
      </c>
      <c r="C97" s="13" t="s">
        <v>76</v>
      </c>
      <c r="D97" s="13" t="s">
        <v>350</v>
      </c>
      <c r="E97" s="3" t="s">
        <v>356</v>
      </c>
      <c r="F97" s="13" t="s">
        <v>117</v>
      </c>
      <c r="G97" s="13" t="s">
        <v>84</v>
      </c>
      <c r="H97" s="13">
        <v>0</v>
      </c>
      <c r="I97" s="13">
        <v>0</v>
      </c>
      <c r="J97" s="13" t="s">
        <v>357</v>
      </c>
      <c r="K97" s="13" t="s">
        <v>119</v>
      </c>
      <c r="L97" s="15" t="s">
        <v>32</v>
      </c>
      <c r="M97" s="15" t="s">
        <v>49</v>
      </c>
      <c r="N97" s="3"/>
    </row>
    <row r="98" spans="1:14" x14ac:dyDescent="0.35">
      <c r="A98" s="13">
        <v>97</v>
      </c>
      <c r="B98" s="13" t="s">
        <v>86</v>
      </c>
      <c r="C98" s="13" t="s">
        <v>76</v>
      </c>
      <c r="D98" s="13" t="s">
        <v>358</v>
      </c>
      <c r="E98" s="3" t="s">
        <v>359</v>
      </c>
      <c r="F98" s="13" t="s">
        <v>117</v>
      </c>
      <c r="G98" s="13" t="s">
        <v>80</v>
      </c>
      <c r="H98" s="13">
        <v>1</v>
      </c>
      <c r="I98" s="13">
        <v>3</v>
      </c>
      <c r="J98" s="13" t="s">
        <v>360</v>
      </c>
      <c r="K98" s="13" t="s">
        <v>119</v>
      </c>
      <c r="L98" s="15" t="s">
        <v>24</v>
      </c>
      <c r="M98" s="15" t="s">
        <v>46</v>
      </c>
      <c r="N98" s="3"/>
    </row>
    <row r="99" spans="1:14" ht="25" x14ac:dyDescent="0.35">
      <c r="A99" s="13">
        <v>98</v>
      </c>
      <c r="B99" s="13" t="s">
        <v>86</v>
      </c>
      <c r="C99" s="13" t="s">
        <v>76</v>
      </c>
      <c r="D99" s="13" t="s">
        <v>350</v>
      </c>
      <c r="E99" s="3" t="s">
        <v>361</v>
      </c>
      <c r="F99" s="13" t="s">
        <v>117</v>
      </c>
      <c r="G99" s="13" t="s">
        <v>84</v>
      </c>
      <c r="H99" s="13">
        <v>2</v>
      </c>
      <c r="I99" s="13">
        <v>0</v>
      </c>
      <c r="J99" s="13" t="s">
        <v>362</v>
      </c>
      <c r="K99" s="13" t="s">
        <v>119</v>
      </c>
      <c r="L99" s="15" t="s">
        <v>24</v>
      </c>
      <c r="M99" s="15" t="s">
        <v>46</v>
      </c>
      <c r="N99" s="3"/>
    </row>
    <row r="100" spans="1:14" x14ac:dyDescent="0.35">
      <c r="A100" s="13">
        <v>99</v>
      </c>
      <c r="B100" s="13" t="s">
        <v>86</v>
      </c>
      <c r="C100" s="13" t="s">
        <v>76</v>
      </c>
      <c r="D100" s="13" t="s">
        <v>363</v>
      </c>
      <c r="E100" s="3" t="s">
        <v>364</v>
      </c>
      <c r="F100" s="13" t="s">
        <v>117</v>
      </c>
      <c r="G100" s="13" t="s">
        <v>80</v>
      </c>
      <c r="H100" s="13">
        <v>0</v>
      </c>
      <c r="I100" s="13">
        <v>0</v>
      </c>
      <c r="J100" s="13" t="s">
        <v>365</v>
      </c>
      <c r="K100" s="13" t="s">
        <v>119</v>
      </c>
      <c r="L100" s="15" t="s">
        <v>12</v>
      </c>
      <c r="M100" s="15" t="s">
        <v>43</v>
      </c>
      <c r="N100" s="3"/>
    </row>
    <row r="101" spans="1:14" ht="25" x14ac:dyDescent="0.35">
      <c r="A101" s="13">
        <v>100</v>
      </c>
      <c r="B101" s="13" t="s">
        <v>86</v>
      </c>
      <c r="C101" s="13" t="s">
        <v>76</v>
      </c>
      <c r="D101" s="13" t="s">
        <v>366</v>
      </c>
      <c r="E101" s="3" t="s">
        <v>367</v>
      </c>
      <c r="F101" s="13" t="s">
        <v>117</v>
      </c>
      <c r="G101" s="13" t="s">
        <v>80</v>
      </c>
      <c r="H101" s="13">
        <v>0</v>
      </c>
      <c r="I101" s="13">
        <v>0</v>
      </c>
      <c r="J101" s="13" t="s">
        <v>368</v>
      </c>
      <c r="K101" s="13" t="s">
        <v>119</v>
      </c>
      <c r="L101" s="15" t="s">
        <v>12</v>
      </c>
      <c r="M101" s="15" t="s">
        <v>43</v>
      </c>
      <c r="N101" s="3"/>
    </row>
    <row r="102" spans="1:14" x14ac:dyDescent="0.35">
      <c r="A102" s="13">
        <v>101</v>
      </c>
      <c r="B102" s="13" t="s">
        <v>86</v>
      </c>
      <c r="C102" s="13" t="s">
        <v>76</v>
      </c>
      <c r="D102" s="13" t="s">
        <v>369</v>
      </c>
      <c r="E102" s="3" t="s">
        <v>370</v>
      </c>
      <c r="F102" s="13" t="s">
        <v>117</v>
      </c>
      <c r="G102" s="13" t="s">
        <v>80</v>
      </c>
      <c r="H102" s="13">
        <v>3</v>
      </c>
      <c r="I102" s="13">
        <v>0</v>
      </c>
      <c r="J102" s="13" t="s">
        <v>371</v>
      </c>
      <c r="K102" s="13" t="s">
        <v>119</v>
      </c>
      <c r="L102" s="15" t="s">
        <v>16</v>
      </c>
      <c r="M102" s="15" t="s">
        <v>49</v>
      </c>
      <c r="N102" s="3"/>
    </row>
    <row r="103" spans="1:14" ht="275" x14ac:dyDescent="0.35">
      <c r="A103" s="13">
        <v>102</v>
      </c>
      <c r="B103" s="13" t="s">
        <v>86</v>
      </c>
      <c r="C103" s="13" t="s">
        <v>76</v>
      </c>
      <c r="D103" s="13" t="s">
        <v>326</v>
      </c>
      <c r="E103" s="3" t="s">
        <v>372</v>
      </c>
      <c r="F103" s="13" t="s">
        <v>117</v>
      </c>
      <c r="G103" s="13" t="s">
        <v>84</v>
      </c>
      <c r="H103" s="13">
        <v>0</v>
      </c>
      <c r="I103" s="13">
        <v>0</v>
      </c>
      <c r="J103" s="13" t="s">
        <v>373</v>
      </c>
      <c r="K103" s="13" t="s">
        <v>119</v>
      </c>
      <c r="L103" s="15" t="s">
        <v>36</v>
      </c>
      <c r="M103" s="15" t="s">
        <v>46</v>
      </c>
      <c r="N103" s="3"/>
    </row>
    <row r="104" spans="1:14" x14ac:dyDescent="0.35">
      <c r="A104" s="13">
        <v>103</v>
      </c>
      <c r="B104" s="13" t="s">
        <v>86</v>
      </c>
      <c r="C104" s="13" t="s">
        <v>76</v>
      </c>
      <c r="D104" s="13" t="s">
        <v>374</v>
      </c>
      <c r="E104" s="3" t="s">
        <v>375</v>
      </c>
      <c r="F104" s="13" t="s">
        <v>117</v>
      </c>
      <c r="G104" s="13" t="s">
        <v>80</v>
      </c>
      <c r="H104" s="13">
        <v>0</v>
      </c>
      <c r="I104" s="13">
        <v>0</v>
      </c>
      <c r="J104" s="13" t="s">
        <v>376</v>
      </c>
      <c r="K104" s="13" t="s">
        <v>119</v>
      </c>
      <c r="L104" s="15" t="s">
        <v>8</v>
      </c>
      <c r="M104" s="15" t="s">
        <v>43</v>
      </c>
      <c r="N104" s="3"/>
    </row>
    <row r="105" spans="1:14" x14ac:dyDescent="0.35">
      <c r="A105" s="13">
        <v>104</v>
      </c>
      <c r="B105" s="13" t="s">
        <v>86</v>
      </c>
      <c r="C105" s="13" t="s">
        <v>76</v>
      </c>
      <c r="D105" s="13" t="s">
        <v>377</v>
      </c>
      <c r="E105" s="3" t="s">
        <v>378</v>
      </c>
      <c r="F105" s="13" t="s">
        <v>117</v>
      </c>
      <c r="G105" s="13" t="s">
        <v>80</v>
      </c>
      <c r="H105" s="13">
        <v>0</v>
      </c>
      <c r="I105" s="13">
        <v>0</v>
      </c>
      <c r="J105" s="13" t="s">
        <v>379</v>
      </c>
      <c r="K105" s="13" t="s">
        <v>119</v>
      </c>
      <c r="L105" s="15" t="s">
        <v>24</v>
      </c>
      <c r="M105" s="15" t="s">
        <v>46</v>
      </c>
      <c r="N105" s="3"/>
    </row>
    <row r="106" spans="1:14" x14ac:dyDescent="0.35">
      <c r="A106" s="13">
        <v>105</v>
      </c>
      <c r="B106" s="13" t="s">
        <v>86</v>
      </c>
      <c r="C106" s="13" t="s">
        <v>76</v>
      </c>
      <c r="D106" s="13" t="s">
        <v>380</v>
      </c>
      <c r="E106" s="3" t="s">
        <v>381</v>
      </c>
      <c r="F106" s="13" t="s">
        <v>117</v>
      </c>
      <c r="G106" s="13" t="s">
        <v>80</v>
      </c>
      <c r="H106" s="13">
        <v>0</v>
      </c>
      <c r="I106" s="13">
        <v>0</v>
      </c>
      <c r="J106" s="13" t="s">
        <v>382</v>
      </c>
      <c r="K106" s="13" t="s">
        <v>119</v>
      </c>
      <c r="L106" s="15" t="s">
        <v>12</v>
      </c>
      <c r="M106" s="15" t="s">
        <v>49</v>
      </c>
      <c r="N106" s="3"/>
    </row>
    <row r="107" spans="1:14" x14ac:dyDescent="0.35">
      <c r="A107" s="13">
        <v>106</v>
      </c>
      <c r="B107" s="13" t="s">
        <v>86</v>
      </c>
      <c r="C107" s="13" t="s">
        <v>76</v>
      </c>
      <c r="D107" s="13" t="s">
        <v>383</v>
      </c>
      <c r="E107" s="3" t="s">
        <v>384</v>
      </c>
      <c r="F107" s="13" t="s">
        <v>117</v>
      </c>
      <c r="G107" s="13" t="s">
        <v>80</v>
      </c>
      <c r="H107" s="13">
        <v>0</v>
      </c>
      <c r="I107" s="13">
        <v>0</v>
      </c>
      <c r="J107" s="13" t="s">
        <v>385</v>
      </c>
      <c r="K107" s="13" t="s">
        <v>119</v>
      </c>
      <c r="L107" s="15" t="s">
        <v>12</v>
      </c>
      <c r="M107" s="15" t="s">
        <v>43</v>
      </c>
      <c r="N107" s="3"/>
    </row>
    <row r="108" spans="1:14" x14ac:dyDescent="0.35">
      <c r="A108" s="13">
        <v>107</v>
      </c>
      <c r="B108" s="13" t="s">
        <v>86</v>
      </c>
      <c r="C108" s="13" t="s">
        <v>76</v>
      </c>
      <c r="D108" s="13" t="s">
        <v>386</v>
      </c>
      <c r="E108" s="3" t="s">
        <v>387</v>
      </c>
      <c r="F108" s="13" t="s">
        <v>117</v>
      </c>
      <c r="G108" s="13" t="s">
        <v>80</v>
      </c>
      <c r="H108" s="13">
        <v>0</v>
      </c>
      <c r="I108" s="13">
        <v>0</v>
      </c>
      <c r="J108" s="13" t="s">
        <v>388</v>
      </c>
      <c r="K108" s="13" t="s">
        <v>119</v>
      </c>
      <c r="L108" s="15" t="s">
        <v>24</v>
      </c>
      <c r="M108" s="15" t="s">
        <v>46</v>
      </c>
      <c r="N108" s="3"/>
    </row>
    <row r="109" spans="1:14" x14ac:dyDescent="0.35">
      <c r="A109" s="13">
        <v>108</v>
      </c>
      <c r="B109" s="13" t="s">
        <v>86</v>
      </c>
      <c r="C109" s="13" t="s">
        <v>76</v>
      </c>
      <c r="D109" s="13" t="s">
        <v>389</v>
      </c>
      <c r="E109" s="3" t="s">
        <v>390</v>
      </c>
      <c r="F109" s="13" t="s">
        <v>117</v>
      </c>
      <c r="G109" s="13" t="s">
        <v>80</v>
      </c>
      <c r="H109" s="13">
        <v>1</v>
      </c>
      <c r="I109" s="13">
        <v>0</v>
      </c>
      <c r="J109" s="13" t="s">
        <v>391</v>
      </c>
      <c r="K109" s="13" t="s">
        <v>119</v>
      </c>
      <c r="L109" s="15" t="s">
        <v>8</v>
      </c>
      <c r="M109" s="15" t="s">
        <v>43</v>
      </c>
      <c r="N109" s="3"/>
    </row>
    <row r="110" spans="1:14" x14ac:dyDescent="0.35">
      <c r="A110" s="13">
        <v>109</v>
      </c>
      <c r="B110" s="13" t="s">
        <v>86</v>
      </c>
      <c r="C110" s="13" t="s">
        <v>76</v>
      </c>
      <c r="D110" s="13" t="s">
        <v>392</v>
      </c>
      <c r="E110" s="3" t="s">
        <v>393</v>
      </c>
      <c r="F110" s="13" t="s">
        <v>117</v>
      </c>
      <c r="G110" s="13" t="s">
        <v>84</v>
      </c>
      <c r="H110" s="13">
        <v>0</v>
      </c>
      <c r="I110" s="13">
        <v>1</v>
      </c>
      <c r="J110" s="13" t="s">
        <v>394</v>
      </c>
      <c r="K110" s="13" t="s">
        <v>119</v>
      </c>
      <c r="L110" s="15" t="s">
        <v>16</v>
      </c>
      <c r="M110" s="15" t="s">
        <v>49</v>
      </c>
      <c r="N110" s="3"/>
    </row>
    <row r="111" spans="1:14" x14ac:dyDescent="0.35">
      <c r="A111" s="13">
        <v>110</v>
      </c>
      <c r="B111" s="13" t="s">
        <v>86</v>
      </c>
      <c r="C111" s="13" t="s">
        <v>76</v>
      </c>
      <c r="D111" s="13" t="s">
        <v>395</v>
      </c>
      <c r="E111" s="3" t="s">
        <v>396</v>
      </c>
      <c r="F111" s="13" t="s">
        <v>117</v>
      </c>
      <c r="G111" s="13" t="s">
        <v>80</v>
      </c>
      <c r="H111" s="13">
        <v>0</v>
      </c>
      <c r="I111" s="13">
        <v>0</v>
      </c>
      <c r="J111" s="13" t="s">
        <v>397</v>
      </c>
      <c r="K111" s="13" t="s">
        <v>119</v>
      </c>
      <c r="L111" s="15" t="s">
        <v>8</v>
      </c>
      <c r="M111" s="15" t="s">
        <v>43</v>
      </c>
      <c r="N111" s="3"/>
    </row>
    <row r="112" spans="1:14" x14ac:dyDescent="0.35">
      <c r="A112" s="13">
        <v>111</v>
      </c>
      <c r="B112" s="13" t="s">
        <v>86</v>
      </c>
      <c r="C112" s="13" t="s">
        <v>76</v>
      </c>
      <c r="D112" s="13" t="s">
        <v>398</v>
      </c>
      <c r="E112" s="3" t="s">
        <v>399</v>
      </c>
      <c r="F112" s="13" t="s">
        <v>117</v>
      </c>
      <c r="G112" s="13" t="s">
        <v>80</v>
      </c>
      <c r="H112" s="13">
        <v>0</v>
      </c>
      <c r="I112" s="13">
        <v>0</v>
      </c>
      <c r="J112" s="13" t="s">
        <v>400</v>
      </c>
      <c r="K112" s="13" t="s">
        <v>119</v>
      </c>
      <c r="L112" s="15" t="s">
        <v>24</v>
      </c>
      <c r="M112" s="15" t="s">
        <v>46</v>
      </c>
      <c r="N112" s="3"/>
    </row>
    <row r="113" spans="1:14" x14ac:dyDescent="0.35">
      <c r="A113" s="13">
        <v>112</v>
      </c>
      <c r="B113" s="13" t="s">
        <v>86</v>
      </c>
      <c r="C113" s="13" t="s">
        <v>76</v>
      </c>
      <c r="D113" s="13" t="s">
        <v>292</v>
      </c>
      <c r="E113" s="3" t="s">
        <v>401</v>
      </c>
      <c r="F113" s="13" t="s">
        <v>117</v>
      </c>
      <c r="G113" s="13" t="s">
        <v>84</v>
      </c>
      <c r="H113" s="13">
        <v>1</v>
      </c>
      <c r="I113" s="13">
        <v>1</v>
      </c>
      <c r="J113" s="13" t="s">
        <v>402</v>
      </c>
      <c r="K113" s="13" t="s">
        <v>119</v>
      </c>
      <c r="L113" s="15" t="s">
        <v>24</v>
      </c>
      <c r="M113" s="15" t="s">
        <v>46</v>
      </c>
      <c r="N113" s="3"/>
    </row>
    <row r="114" spans="1:14" x14ac:dyDescent="0.35">
      <c r="A114" s="13">
        <v>113</v>
      </c>
      <c r="B114" s="13" t="s">
        <v>86</v>
      </c>
      <c r="C114" s="13" t="s">
        <v>76</v>
      </c>
      <c r="D114" s="13" t="s">
        <v>403</v>
      </c>
      <c r="E114" s="3" t="s">
        <v>404</v>
      </c>
      <c r="F114" s="13" t="s">
        <v>117</v>
      </c>
      <c r="G114" s="13" t="s">
        <v>80</v>
      </c>
      <c r="H114" s="13">
        <v>0</v>
      </c>
      <c r="I114" s="13">
        <v>1</v>
      </c>
      <c r="J114" s="13" t="s">
        <v>405</v>
      </c>
      <c r="K114" s="13" t="s">
        <v>119</v>
      </c>
      <c r="L114" s="15" t="s">
        <v>16</v>
      </c>
      <c r="M114" s="15" t="s">
        <v>49</v>
      </c>
      <c r="N114" s="3"/>
    </row>
    <row r="115" spans="1:14" x14ac:dyDescent="0.35">
      <c r="A115" s="13">
        <v>114</v>
      </c>
      <c r="B115" s="13" t="s">
        <v>86</v>
      </c>
      <c r="C115" s="13" t="s">
        <v>76</v>
      </c>
      <c r="D115" s="13" t="s">
        <v>406</v>
      </c>
      <c r="E115" s="3" t="s">
        <v>407</v>
      </c>
      <c r="F115" s="13" t="s">
        <v>117</v>
      </c>
      <c r="G115" s="13" t="s">
        <v>80</v>
      </c>
      <c r="H115" s="13">
        <v>0</v>
      </c>
      <c r="I115" s="13">
        <v>0</v>
      </c>
      <c r="J115" s="13" t="s">
        <v>408</v>
      </c>
      <c r="K115" s="13" t="s">
        <v>119</v>
      </c>
      <c r="L115" s="15" t="s">
        <v>8</v>
      </c>
      <c r="M115" s="15" t="s">
        <v>43</v>
      </c>
      <c r="N115" s="3"/>
    </row>
    <row r="116" spans="1:14" x14ac:dyDescent="0.35">
      <c r="A116" s="13">
        <v>115</v>
      </c>
      <c r="B116" s="13" t="s">
        <v>86</v>
      </c>
      <c r="C116" s="13" t="s">
        <v>76</v>
      </c>
      <c r="D116" s="13" t="s">
        <v>409</v>
      </c>
      <c r="E116" s="3" t="s">
        <v>410</v>
      </c>
      <c r="F116" s="13" t="s">
        <v>117</v>
      </c>
      <c r="G116" s="13" t="s">
        <v>80</v>
      </c>
      <c r="H116" s="13">
        <v>0</v>
      </c>
      <c r="I116" s="13">
        <v>0</v>
      </c>
      <c r="J116" s="13" t="s">
        <v>411</v>
      </c>
      <c r="K116" s="13" t="s">
        <v>119</v>
      </c>
      <c r="L116" s="15" t="s">
        <v>12</v>
      </c>
      <c r="M116" s="15" t="s">
        <v>49</v>
      </c>
      <c r="N116" s="3"/>
    </row>
    <row r="117" spans="1:14" x14ac:dyDescent="0.35">
      <c r="A117" s="13">
        <v>116</v>
      </c>
      <c r="B117" s="13" t="s">
        <v>86</v>
      </c>
      <c r="C117" s="13" t="s">
        <v>76</v>
      </c>
      <c r="D117" s="13" t="s">
        <v>412</v>
      </c>
      <c r="E117" s="3" t="s">
        <v>413</v>
      </c>
      <c r="F117" s="13" t="s">
        <v>117</v>
      </c>
      <c r="G117" s="13" t="s">
        <v>84</v>
      </c>
      <c r="H117" s="13">
        <v>0</v>
      </c>
      <c r="I117" s="13">
        <v>0</v>
      </c>
      <c r="J117" s="13" t="s">
        <v>414</v>
      </c>
      <c r="K117" s="13" t="s">
        <v>119</v>
      </c>
      <c r="L117" s="15" t="s">
        <v>32</v>
      </c>
      <c r="M117" s="15" t="s">
        <v>49</v>
      </c>
      <c r="N117" s="3"/>
    </row>
    <row r="118" spans="1:14" x14ac:dyDescent="0.35">
      <c r="A118" s="13">
        <v>117</v>
      </c>
      <c r="B118" s="13" t="s">
        <v>86</v>
      </c>
      <c r="C118" s="13" t="s">
        <v>76</v>
      </c>
      <c r="D118" s="13" t="s">
        <v>233</v>
      </c>
      <c r="E118" s="3" t="s">
        <v>415</v>
      </c>
      <c r="F118" s="13" t="s">
        <v>117</v>
      </c>
      <c r="G118" s="13" t="s">
        <v>84</v>
      </c>
      <c r="H118" s="13">
        <v>0</v>
      </c>
      <c r="I118" s="13">
        <v>0</v>
      </c>
      <c r="J118" s="13" t="s">
        <v>416</v>
      </c>
      <c r="K118" s="13" t="s">
        <v>119</v>
      </c>
      <c r="L118" s="15" t="s">
        <v>32</v>
      </c>
      <c r="M118" s="15" t="s">
        <v>49</v>
      </c>
      <c r="N118" s="3"/>
    </row>
    <row r="119" spans="1:14" x14ac:dyDescent="0.35">
      <c r="A119" s="13">
        <v>118</v>
      </c>
      <c r="B119" s="13" t="s">
        <v>86</v>
      </c>
      <c r="C119" s="13" t="s">
        <v>76</v>
      </c>
      <c r="D119" s="13" t="s">
        <v>417</v>
      </c>
      <c r="E119" s="3" t="s">
        <v>418</v>
      </c>
      <c r="F119" s="13" t="s">
        <v>117</v>
      </c>
      <c r="G119" s="13" t="s">
        <v>80</v>
      </c>
      <c r="H119" s="13">
        <v>0</v>
      </c>
      <c r="I119" s="13">
        <v>0</v>
      </c>
      <c r="J119" s="13" t="s">
        <v>419</v>
      </c>
      <c r="K119" s="13" t="s">
        <v>119</v>
      </c>
      <c r="L119" s="15" t="s">
        <v>12</v>
      </c>
      <c r="M119" s="15" t="s">
        <v>43</v>
      </c>
      <c r="N119" s="3"/>
    </row>
    <row r="120" spans="1:14" x14ac:dyDescent="0.35">
      <c r="A120" s="13">
        <v>119</v>
      </c>
      <c r="B120" s="13" t="s">
        <v>86</v>
      </c>
      <c r="C120" s="13" t="s">
        <v>76</v>
      </c>
      <c r="D120" s="13" t="s">
        <v>420</v>
      </c>
      <c r="E120" s="3" t="s">
        <v>421</v>
      </c>
      <c r="F120" s="13" t="s">
        <v>117</v>
      </c>
      <c r="G120" s="13" t="s">
        <v>84</v>
      </c>
      <c r="H120" s="13">
        <v>0</v>
      </c>
      <c r="I120" s="13">
        <v>0</v>
      </c>
      <c r="J120" s="13" t="s">
        <v>422</v>
      </c>
      <c r="K120" s="13" t="s">
        <v>119</v>
      </c>
      <c r="L120" s="15" t="s">
        <v>32</v>
      </c>
      <c r="M120" s="15" t="s">
        <v>49</v>
      </c>
      <c r="N120" s="3"/>
    </row>
    <row r="121" spans="1:14" ht="25" x14ac:dyDescent="0.35">
      <c r="A121" s="13">
        <v>120</v>
      </c>
      <c r="B121" s="13" t="s">
        <v>86</v>
      </c>
      <c r="C121" s="13" t="s">
        <v>76</v>
      </c>
      <c r="D121" s="13" t="s">
        <v>420</v>
      </c>
      <c r="E121" s="3" t="s">
        <v>423</v>
      </c>
      <c r="F121" s="13" t="s">
        <v>117</v>
      </c>
      <c r="G121" s="13" t="s">
        <v>80</v>
      </c>
      <c r="H121" s="13">
        <v>4</v>
      </c>
      <c r="I121" s="13">
        <v>0</v>
      </c>
      <c r="J121" s="13" t="s">
        <v>424</v>
      </c>
      <c r="K121" s="13" t="s">
        <v>119</v>
      </c>
      <c r="L121" s="15" t="s">
        <v>20</v>
      </c>
      <c r="M121" s="15" t="s">
        <v>49</v>
      </c>
      <c r="N121" s="3"/>
    </row>
    <row r="122" spans="1:14" x14ac:dyDescent="0.35">
      <c r="A122" s="13">
        <v>121</v>
      </c>
      <c r="B122" s="13" t="s">
        <v>86</v>
      </c>
      <c r="C122" s="13" t="s">
        <v>76</v>
      </c>
      <c r="D122" s="13" t="s">
        <v>358</v>
      </c>
      <c r="E122" s="3" t="s">
        <v>425</v>
      </c>
      <c r="F122" s="13" t="s">
        <v>117</v>
      </c>
      <c r="G122" s="13" t="s">
        <v>84</v>
      </c>
      <c r="H122" s="13">
        <v>1</v>
      </c>
      <c r="I122" s="13">
        <v>0</v>
      </c>
      <c r="J122" s="13" t="s">
        <v>426</v>
      </c>
      <c r="K122" s="13" t="s">
        <v>119</v>
      </c>
      <c r="L122" s="15" t="s">
        <v>32</v>
      </c>
      <c r="M122" s="15" t="s">
        <v>49</v>
      </c>
      <c r="N122" s="3"/>
    </row>
    <row r="123" spans="1:14" ht="25" x14ac:dyDescent="0.35">
      <c r="A123" s="13">
        <v>122</v>
      </c>
      <c r="B123" s="13" t="s">
        <v>86</v>
      </c>
      <c r="C123" s="13" t="s">
        <v>76</v>
      </c>
      <c r="D123" s="13" t="s">
        <v>427</v>
      </c>
      <c r="E123" s="3" t="s">
        <v>428</v>
      </c>
      <c r="F123" s="13" t="s">
        <v>429</v>
      </c>
      <c r="G123" s="13" t="s">
        <v>80</v>
      </c>
      <c r="H123" s="13">
        <v>2</v>
      </c>
      <c r="I123" s="13">
        <v>0</v>
      </c>
      <c r="J123" s="13" t="s">
        <v>430</v>
      </c>
      <c r="K123" s="13" t="s">
        <v>119</v>
      </c>
      <c r="L123" s="15" t="s">
        <v>24</v>
      </c>
      <c r="M123" s="15" t="s">
        <v>46</v>
      </c>
      <c r="N123" s="3"/>
    </row>
    <row r="124" spans="1:14" x14ac:dyDescent="0.35">
      <c r="A124" s="13">
        <v>123</v>
      </c>
      <c r="B124" s="13" t="s">
        <v>86</v>
      </c>
      <c r="C124" s="13" t="s">
        <v>76</v>
      </c>
      <c r="D124" s="13" t="s">
        <v>292</v>
      </c>
      <c r="E124" s="3" t="s">
        <v>431</v>
      </c>
      <c r="F124" s="13" t="s">
        <v>117</v>
      </c>
      <c r="G124" s="13" t="s">
        <v>84</v>
      </c>
      <c r="H124" s="13">
        <v>1</v>
      </c>
      <c r="I124" s="13">
        <v>0</v>
      </c>
      <c r="J124" s="13" t="s">
        <v>432</v>
      </c>
      <c r="K124" s="13" t="s">
        <v>119</v>
      </c>
      <c r="L124" s="15" t="s">
        <v>12</v>
      </c>
      <c r="M124" s="15" t="s">
        <v>49</v>
      </c>
      <c r="N124" s="3"/>
    </row>
    <row r="125" spans="1:14" x14ac:dyDescent="0.35">
      <c r="A125" s="13">
        <v>124</v>
      </c>
      <c r="B125" s="13" t="s">
        <v>86</v>
      </c>
      <c r="C125" s="13" t="s">
        <v>76</v>
      </c>
      <c r="D125" s="13" t="s">
        <v>433</v>
      </c>
      <c r="E125" s="3" t="s">
        <v>434</v>
      </c>
      <c r="F125" s="13" t="s">
        <v>117</v>
      </c>
      <c r="G125" s="13" t="s">
        <v>80</v>
      </c>
      <c r="H125" s="13">
        <v>0</v>
      </c>
      <c r="I125" s="13">
        <v>0</v>
      </c>
      <c r="J125" s="13" t="s">
        <v>435</v>
      </c>
      <c r="K125" s="13" t="s">
        <v>119</v>
      </c>
      <c r="L125" s="15" t="s">
        <v>32</v>
      </c>
      <c r="M125" s="15" t="s">
        <v>49</v>
      </c>
      <c r="N125" s="3"/>
    </row>
    <row r="126" spans="1:14" x14ac:dyDescent="0.35">
      <c r="A126" s="13">
        <v>125</v>
      </c>
      <c r="B126" s="13" t="s">
        <v>86</v>
      </c>
      <c r="C126" s="13" t="s">
        <v>76</v>
      </c>
      <c r="D126" s="13" t="s">
        <v>436</v>
      </c>
      <c r="E126" s="3" t="s">
        <v>437</v>
      </c>
      <c r="F126" s="13" t="s">
        <v>429</v>
      </c>
      <c r="G126" s="13" t="s">
        <v>80</v>
      </c>
      <c r="H126" s="13">
        <v>1</v>
      </c>
      <c r="I126" s="13">
        <v>2</v>
      </c>
      <c r="J126" s="13" t="s">
        <v>438</v>
      </c>
      <c r="K126" s="13" t="s">
        <v>119</v>
      </c>
      <c r="L126" s="15" t="s">
        <v>12</v>
      </c>
      <c r="M126" s="15" t="s">
        <v>43</v>
      </c>
      <c r="N126" s="3"/>
    </row>
    <row r="127" spans="1:14" x14ac:dyDescent="0.35">
      <c r="A127" s="13">
        <v>126</v>
      </c>
      <c r="B127" s="13" t="s">
        <v>86</v>
      </c>
      <c r="C127" s="13" t="s">
        <v>76</v>
      </c>
      <c r="D127" s="13" t="s">
        <v>439</v>
      </c>
      <c r="E127" s="3" t="s">
        <v>440</v>
      </c>
      <c r="F127" s="13" t="s">
        <v>117</v>
      </c>
      <c r="G127" s="13" t="s">
        <v>80</v>
      </c>
      <c r="H127" s="13">
        <v>0</v>
      </c>
      <c r="I127" s="13">
        <v>0</v>
      </c>
      <c r="J127" s="13" t="s">
        <v>441</v>
      </c>
      <c r="K127" s="13" t="s">
        <v>119</v>
      </c>
      <c r="L127" s="15" t="s">
        <v>16</v>
      </c>
      <c r="M127" s="15" t="s">
        <v>49</v>
      </c>
      <c r="N127" s="3"/>
    </row>
    <row r="128" spans="1:14" x14ac:dyDescent="0.35">
      <c r="A128" s="13">
        <v>127</v>
      </c>
      <c r="B128" s="13" t="s">
        <v>86</v>
      </c>
      <c r="C128" s="13" t="s">
        <v>76</v>
      </c>
      <c r="D128" s="13" t="s">
        <v>442</v>
      </c>
      <c r="E128" s="3" t="s">
        <v>443</v>
      </c>
      <c r="F128" s="13" t="s">
        <v>429</v>
      </c>
      <c r="G128" s="13" t="s">
        <v>80</v>
      </c>
      <c r="H128" s="13">
        <v>1</v>
      </c>
      <c r="I128" s="13">
        <v>0</v>
      </c>
      <c r="J128" s="13" t="s">
        <v>444</v>
      </c>
      <c r="K128" s="13" t="s">
        <v>119</v>
      </c>
      <c r="L128" s="15" t="s">
        <v>24</v>
      </c>
      <c r="M128" s="15" t="s">
        <v>46</v>
      </c>
      <c r="N128" s="3"/>
    </row>
    <row r="129" spans="1:14" ht="25" x14ac:dyDescent="0.35">
      <c r="A129" s="13">
        <v>128</v>
      </c>
      <c r="B129" s="13" t="s">
        <v>86</v>
      </c>
      <c r="C129" s="13" t="s">
        <v>76</v>
      </c>
      <c r="D129" s="13" t="s">
        <v>445</v>
      </c>
      <c r="E129" s="3" t="s">
        <v>446</v>
      </c>
      <c r="F129" s="13" t="s">
        <v>429</v>
      </c>
      <c r="G129" s="13" t="s">
        <v>80</v>
      </c>
      <c r="H129" s="13">
        <v>1</v>
      </c>
      <c r="I129" s="13">
        <v>0</v>
      </c>
      <c r="J129" s="13" t="s">
        <v>447</v>
      </c>
      <c r="K129" s="13" t="s">
        <v>119</v>
      </c>
      <c r="L129" s="15" t="s">
        <v>24</v>
      </c>
      <c r="M129" s="15" t="s">
        <v>46</v>
      </c>
      <c r="N129" s="3"/>
    </row>
    <row r="130" spans="1:14" x14ac:dyDescent="0.35">
      <c r="A130" s="13">
        <v>129</v>
      </c>
      <c r="B130" s="13" t="s">
        <v>86</v>
      </c>
      <c r="C130" s="13" t="s">
        <v>76</v>
      </c>
      <c r="D130" s="13" t="s">
        <v>448</v>
      </c>
      <c r="E130" s="3" t="s">
        <v>449</v>
      </c>
      <c r="F130" s="13" t="s">
        <v>429</v>
      </c>
      <c r="G130" s="13" t="s">
        <v>80</v>
      </c>
      <c r="H130" s="13">
        <v>0</v>
      </c>
      <c r="I130" s="13">
        <v>0</v>
      </c>
      <c r="J130" s="13" t="s">
        <v>450</v>
      </c>
      <c r="K130" s="13" t="s">
        <v>119</v>
      </c>
      <c r="L130" s="15" t="s">
        <v>12</v>
      </c>
      <c r="M130" s="15" t="s">
        <v>43</v>
      </c>
      <c r="N130" s="3"/>
    </row>
    <row r="131" spans="1:14" x14ac:dyDescent="0.35">
      <c r="A131" s="13">
        <v>130</v>
      </c>
      <c r="B131" s="13" t="s">
        <v>86</v>
      </c>
      <c r="C131" s="13" t="s">
        <v>76</v>
      </c>
      <c r="D131" s="13" t="s">
        <v>451</v>
      </c>
      <c r="E131" s="3" t="s">
        <v>452</v>
      </c>
      <c r="F131" s="13" t="s">
        <v>117</v>
      </c>
      <c r="G131" s="13" t="s">
        <v>80</v>
      </c>
      <c r="H131" s="13">
        <v>0</v>
      </c>
      <c r="I131" s="13">
        <v>0</v>
      </c>
      <c r="J131" s="13" t="s">
        <v>453</v>
      </c>
      <c r="K131" s="13" t="s">
        <v>119</v>
      </c>
      <c r="L131" s="15" t="s">
        <v>16</v>
      </c>
      <c r="M131" s="15" t="s">
        <v>49</v>
      </c>
      <c r="N131" s="3"/>
    </row>
    <row r="132" spans="1:14" x14ac:dyDescent="0.35">
      <c r="A132" s="13">
        <v>131</v>
      </c>
      <c r="B132" s="13" t="s">
        <v>86</v>
      </c>
      <c r="C132" s="13" t="s">
        <v>76</v>
      </c>
      <c r="D132" s="13" t="s">
        <v>454</v>
      </c>
      <c r="E132" s="3" t="s">
        <v>455</v>
      </c>
      <c r="F132" s="13" t="s">
        <v>117</v>
      </c>
      <c r="G132" s="13" t="s">
        <v>80</v>
      </c>
      <c r="H132" s="13">
        <v>0</v>
      </c>
      <c r="I132" s="13">
        <v>0</v>
      </c>
      <c r="J132" s="13" t="s">
        <v>456</v>
      </c>
      <c r="K132" s="13" t="s">
        <v>119</v>
      </c>
      <c r="L132" s="15" t="s">
        <v>16</v>
      </c>
      <c r="M132" s="15" t="s">
        <v>49</v>
      </c>
      <c r="N132" s="3"/>
    </row>
    <row r="133" spans="1:14" ht="25" x14ac:dyDescent="0.35">
      <c r="A133" s="13">
        <v>132</v>
      </c>
      <c r="B133" s="13" t="s">
        <v>86</v>
      </c>
      <c r="C133" s="13" t="s">
        <v>76</v>
      </c>
      <c r="D133" s="13" t="s">
        <v>254</v>
      </c>
      <c r="E133" s="3" t="s">
        <v>457</v>
      </c>
      <c r="F133" s="13" t="s">
        <v>117</v>
      </c>
      <c r="G133" s="13" t="s">
        <v>84</v>
      </c>
      <c r="H133" s="13">
        <v>0</v>
      </c>
      <c r="I133" s="13">
        <v>0</v>
      </c>
      <c r="J133" s="13" t="s">
        <v>458</v>
      </c>
      <c r="K133" s="13" t="s">
        <v>119</v>
      </c>
      <c r="L133" s="15" t="s">
        <v>12</v>
      </c>
      <c r="M133" s="15" t="s">
        <v>43</v>
      </c>
      <c r="N133" s="3"/>
    </row>
    <row r="134" spans="1:14" x14ac:dyDescent="0.35">
      <c r="A134" s="13">
        <v>133</v>
      </c>
      <c r="B134" s="13" t="s">
        <v>86</v>
      </c>
      <c r="C134" s="13" t="s">
        <v>76</v>
      </c>
      <c r="D134" s="13" t="s">
        <v>459</v>
      </c>
      <c r="E134" s="3" t="s">
        <v>460</v>
      </c>
      <c r="F134" s="13" t="s">
        <v>429</v>
      </c>
      <c r="G134" s="13" t="s">
        <v>80</v>
      </c>
      <c r="H134" s="13">
        <v>0</v>
      </c>
      <c r="I134" s="13">
        <v>0</v>
      </c>
      <c r="J134" s="13" t="s">
        <v>461</v>
      </c>
      <c r="K134" s="13" t="s">
        <v>119</v>
      </c>
      <c r="L134" s="15" t="s">
        <v>16</v>
      </c>
      <c r="M134" s="15" t="s">
        <v>49</v>
      </c>
      <c r="N134" s="3"/>
    </row>
    <row r="135" spans="1:14" ht="175" x14ac:dyDescent="0.35">
      <c r="A135" s="13">
        <v>134</v>
      </c>
      <c r="B135" s="13" t="s">
        <v>86</v>
      </c>
      <c r="C135" s="13" t="s">
        <v>76</v>
      </c>
      <c r="D135" s="13" t="s">
        <v>462</v>
      </c>
      <c r="E135" s="3" t="s">
        <v>463</v>
      </c>
      <c r="F135" s="13" t="s">
        <v>117</v>
      </c>
      <c r="G135" s="13" t="s">
        <v>80</v>
      </c>
      <c r="H135" s="13">
        <v>1</v>
      </c>
      <c r="I135" s="13">
        <v>1</v>
      </c>
      <c r="J135" s="13" t="s">
        <v>464</v>
      </c>
      <c r="K135" s="13" t="s">
        <v>119</v>
      </c>
      <c r="L135" s="15" t="s">
        <v>20</v>
      </c>
      <c r="M135" s="15" t="s">
        <v>49</v>
      </c>
      <c r="N135" s="3"/>
    </row>
    <row r="136" spans="1:14" ht="37.5" x14ac:dyDescent="0.35">
      <c r="A136" s="13">
        <v>135</v>
      </c>
      <c r="B136" s="13" t="s">
        <v>86</v>
      </c>
      <c r="C136" s="13" t="s">
        <v>76</v>
      </c>
      <c r="D136" s="13" t="s">
        <v>465</v>
      </c>
      <c r="E136" s="3" t="s">
        <v>466</v>
      </c>
      <c r="F136" s="13" t="s">
        <v>429</v>
      </c>
      <c r="G136" s="13" t="s">
        <v>80</v>
      </c>
      <c r="H136" s="13">
        <v>1</v>
      </c>
      <c r="I136" s="13">
        <v>0</v>
      </c>
      <c r="J136" s="13" t="s">
        <v>467</v>
      </c>
      <c r="K136" s="13" t="s">
        <v>119</v>
      </c>
      <c r="L136" s="15" t="s">
        <v>16</v>
      </c>
      <c r="M136" s="15" t="s">
        <v>49</v>
      </c>
      <c r="N136" s="3"/>
    </row>
    <row r="137" spans="1:14" x14ac:dyDescent="0.35">
      <c r="A137" s="13">
        <v>136</v>
      </c>
      <c r="B137" s="13" t="s">
        <v>86</v>
      </c>
      <c r="C137" s="13" t="s">
        <v>76</v>
      </c>
      <c r="D137" s="13" t="s">
        <v>468</v>
      </c>
      <c r="E137" s="3" t="s">
        <v>469</v>
      </c>
      <c r="F137" s="13" t="s">
        <v>117</v>
      </c>
      <c r="G137" s="13" t="s">
        <v>84</v>
      </c>
      <c r="H137" s="13">
        <v>0</v>
      </c>
      <c r="I137" s="13">
        <v>0</v>
      </c>
      <c r="J137" s="13" t="s">
        <v>470</v>
      </c>
      <c r="K137" s="13" t="s">
        <v>119</v>
      </c>
      <c r="L137" s="15" t="s">
        <v>8</v>
      </c>
      <c r="M137" s="15" t="s">
        <v>43</v>
      </c>
      <c r="N137" s="3"/>
    </row>
    <row r="138" spans="1:14" x14ac:dyDescent="0.35">
      <c r="A138" s="13">
        <v>137</v>
      </c>
      <c r="B138" s="13" t="s">
        <v>86</v>
      </c>
      <c r="C138" s="13" t="s">
        <v>76</v>
      </c>
      <c r="D138" s="13" t="s">
        <v>471</v>
      </c>
      <c r="E138" s="3" t="s">
        <v>472</v>
      </c>
      <c r="F138" s="13" t="s">
        <v>117</v>
      </c>
      <c r="G138" s="13" t="s">
        <v>84</v>
      </c>
      <c r="H138" s="13">
        <v>2</v>
      </c>
      <c r="I138" s="13">
        <v>0</v>
      </c>
      <c r="J138" s="13" t="s">
        <v>473</v>
      </c>
      <c r="K138" s="13" t="s">
        <v>119</v>
      </c>
      <c r="L138" s="15" t="s">
        <v>8</v>
      </c>
      <c r="M138" s="15" t="s">
        <v>43</v>
      </c>
      <c r="N138" s="3"/>
    </row>
    <row r="139" spans="1:14" x14ac:dyDescent="0.35">
      <c r="A139" s="13">
        <v>138</v>
      </c>
      <c r="B139" s="13" t="s">
        <v>86</v>
      </c>
      <c r="C139" s="13" t="s">
        <v>76</v>
      </c>
      <c r="D139" s="13" t="s">
        <v>474</v>
      </c>
      <c r="E139" s="3" t="s">
        <v>475</v>
      </c>
      <c r="F139" s="13" t="s">
        <v>117</v>
      </c>
      <c r="G139" s="13" t="s">
        <v>80</v>
      </c>
      <c r="H139" s="13">
        <v>0</v>
      </c>
      <c r="I139" s="13">
        <v>0</v>
      </c>
      <c r="J139" s="13" t="s">
        <v>476</v>
      </c>
      <c r="K139" s="13" t="s">
        <v>119</v>
      </c>
      <c r="L139" s="15" t="s">
        <v>8</v>
      </c>
      <c r="M139" s="15" t="s">
        <v>43</v>
      </c>
      <c r="N139" s="3"/>
    </row>
    <row r="140" spans="1:14" x14ac:dyDescent="0.35">
      <c r="A140" s="13">
        <v>139</v>
      </c>
      <c r="B140" s="13" t="s">
        <v>86</v>
      </c>
      <c r="C140" s="13" t="s">
        <v>76</v>
      </c>
      <c r="D140" s="13" t="s">
        <v>477</v>
      </c>
      <c r="E140" s="3" t="s">
        <v>478</v>
      </c>
      <c r="F140" s="13" t="s">
        <v>117</v>
      </c>
      <c r="G140" s="13" t="s">
        <v>80</v>
      </c>
      <c r="H140" s="13">
        <v>0</v>
      </c>
      <c r="I140" s="13">
        <v>0</v>
      </c>
      <c r="J140" s="13" t="s">
        <v>479</v>
      </c>
      <c r="K140" s="13" t="s">
        <v>119</v>
      </c>
      <c r="L140" s="15" t="s">
        <v>8</v>
      </c>
      <c r="M140" s="15" t="s">
        <v>43</v>
      </c>
      <c r="N140" s="3"/>
    </row>
    <row r="141" spans="1:14" x14ac:dyDescent="0.35">
      <c r="A141" s="13">
        <v>140</v>
      </c>
      <c r="B141" s="13" t="s">
        <v>86</v>
      </c>
      <c r="C141" s="13" t="s">
        <v>76</v>
      </c>
      <c r="D141" s="13" t="s">
        <v>480</v>
      </c>
      <c r="E141" s="3" t="s">
        <v>481</v>
      </c>
      <c r="F141" s="13" t="s">
        <v>429</v>
      </c>
      <c r="G141" s="13" t="s">
        <v>80</v>
      </c>
      <c r="H141" s="13">
        <v>0</v>
      </c>
      <c r="I141" s="13">
        <v>0</v>
      </c>
      <c r="J141" s="13" t="s">
        <v>482</v>
      </c>
      <c r="K141" s="13" t="s">
        <v>119</v>
      </c>
      <c r="L141" s="15" t="s">
        <v>16</v>
      </c>
      <c r="M141" s="15" t="s">
        <v>49</v>
      </c>
      <c r="N141" s="3"/>
    </row>
    <row r="142" spans="1:14" x14ac:dyDescent="0.35">
      <c r="A142" s="13">
        <v>141</v>
      </c>
      <c r="B142" s="13" t="s">
        <v>86</v>
      </c>
      <c r="C142" s="13" t="s">
        <v>76</v>
      </c>
      <c r="D142" s="13" t="s">
        <v>483</v>
      </c>
      <c r="E142" s="3" t="s">
        <v>484</v>
      </c>
      <c r="F142" s="13" t="s">
        <v>429</v>
      </c>
      <c r="G142" s="13" t="s">
        <v>84</v>
      </c>
      <c r="H142" s="13">
        <v>0</v>
      </c>
      <c r="I142" s="13">
        <v>1</v>
      </c>
      <c r="J142" s="13" t="s">
        <v>485</v>
      </c>
      <c r="K142" s="13" t="s">
        <v>119</v>
      </c>
      <c r="L142" s="15" t="s">
        <v>32</v>
      </c>
      <c r="M142" s="15" t="s">
        <v>49</v>
      </c>
      <c r="N142" s="3"/>
    </row>
    <row r="143" spans="1:14" x14ac:dyDescent="0.35">
      <c r="A143" s="13">
        <v>142</v>
      </c>
      <c r="B143" s="13" t="s">
        <v>86</v>
      </c>
      <c r="C143" s="13" t="s">
        <v>76</v>
      </c>
      <c r="D143" s="13" t="s">
        <v>486</v>
      </c>
      <c r="E143" s="3" t="s">
        <v>487</v>
      </c>
      <c r="F143" s="13" t="s">
        <v>429</v>
      </c>
      <c r="G143" s="13" t="s">
        <v>80</v>
      </c>
      <c r="H143" s="13">
        <v>1</v>
      </c>
      <c r="I143" s="13">
        <v>0</v>
      </c>
      <c r="J143" s="13" t="s">
        <v>488</v>
      </c>
      <c r="K143" s="13" t="s">
        <v>119</v>
      </c>
      <c r="L143" s="15" t="s">
        <v>20</v>
      </c>
      <c r="M143" s="15" t="s">
        <v>49</v>
      </c>
      <c r="N143" s="3"/>
    </row>
    <row r="144" spans="1:14" x14ac:dyDescent="0.35">
      <c r="A144" s="13">
        <v>143</v>
      </c>
      <c r="B144" s="13" t="s">
        <v>86</v>
      </c>
      <c r="C144" s="13" t="s">
        <v>76</v>
      </c>
      <c r="D144" s="13" t="s">
        <v>436</v>
      </c>
      <c r="E144" s="3" t="s">
        <v>489</v>
      </c>
      <c r="F144" s="13" t="s">
        <v>429</v>
      </c>
      <c r="G144" s="13" t="s">
        <v>84</v>
      </c>
      <c r="H144" s="13">
        <v>0</v>
      </c>
      <c r="I144" s="13">
        <v>0</v>
      </c>
      <c r="J144" s="13" t="s">
        <v>490</v>
      </c>
      <c r="K144" s="13" t="s">
        <v>119</v>
      </c>
      <c r="L144" s="15" t="s">
        <v>36</v>
      </c>
      <c r="M144" s="15" t="s">
        <v>49</v>
      </c>
      <c r="N144" s="3"/>
    </row>
    <row r="145" spans="1:14" x14ac:dyDescent="0.35">
      <c r="A145" s="13">
        <v>144</v>
      </c>
      <c r="B145" s="13" t="s">
        <v>86</v>
      </c>
      <c r="C145" s="13" t="s">
        <v>76</v>
      </c>
      <c r="D145" s="13" t="s">
        <v>491</v>
      </c>
      <c r="E145" s="3" t="s">
        <v>492</v>
      </c>
      <c r="F145" s="13" t="s">
        <v>429</v>
      </c>
      <c r="G145" s="13" t="s">
        <v>80</v>
      </c>
      <c r="H145" s="13">
        <v>3</v>
      </c>
      <c r="I145" s="13">
        <v>0</v>
      </c>
      <c r="J145" s="13" t="s">
        <v>493</v>
      </c>
      <c r="K145" s="13" t="s">
        <v>119</v>
      </c>
      <c r="L145" s="15" t="s">
        <v>24</v>
      </c>
      <c r="M145" s="15" t="s">
        <v>46</v>
      </c>
      <c r="N145" s="3"/>
    </row>
    <row r="146" spans="1:14" x14ac:dyDescent="0.35">
      <c r="A146" s="13">
        <v>145</v>
      </c>
      <c r="B146" s="13" t="s">
        <v>86</v>
      </c>
      <c r="C146" s="13" t="s">
        <v>76</v>
      </c>
      <c r="D146" s="13" t="s">
        <v>491</v>
      </c>
      <c r="E146" s="3" t="s">
        <v>494</v>
      </c>
      <c r="F146" s="13" t="s">
        <v>117</v>
      </c>
      <c r="G146" s="13" t="s">
        <v>84</v>
      </c>
      <c r="H146" s="13">
        <v>0</v>
      </c>
      <c r="I146" s="13">
        <v>0</v>
      </c>
      <c r="J146" s="13" t="s">
        <v>495</v>
      </c>
      <c r="K146" s="13" t="s">
        <v>119</v>
      </c>
      <c r="L146" s="15" t="s">
        <v>16</v>
      </c>
      <c r="M146" s="15" t="s">
        <v>49</v>
      </c>
      <c r="N146" s="3"/>
    </row>
    <row r="147" spans="1:14" ht="62.5" x14ac:dyDescent="0.35">
      <c r="A147" s="13">
        <v>146</v>
      </c>
      <c r="B147" s="13" t="s">
        <v>86</v>
      </c>
      <c r="C147" s="13" t="s">
        <v>76</v>
      </c>
      <c r="D147" s="13" t="s">
        <v>496</v>
      </c>
      <c r="E147" s="3" t="s">
        <v>497</v>
      </c>
      <c r="F147" s="13" t="s">
        <v>429</v>
      </c>
      <c r="G147" s="13" t="s">
        <v>80</v>
      </c>
      <c r="H147" s="13">
        <v>1</v>
      </c>
      <c r="I147" s="13">
        <v>0</v>
      </c>
      <c r="J147" s="13" t="s">
        <v>498</v>
      </c>
      <c r="K147" s="13" t="s">
        <v>119</v>
      </c>
      <c r="L147" s="15" t="s">
        <v>8</v>
      </c>
      <c r="M147" s="15" t="s">
        <v>43</v>
      </c>
      <c r="N147" s="3"/>
    </row>
    <row r="148" spans="1:14" ht="37.5" x14ac:dyDescent="0.35">
      <c r="A148" s="13">
        <v>147</v>
      </c>
      <c r="B148" s="13" t="s">
        <v>86</v>
      </c>
      <c r="C148" s="13" t="s">
        <v>76</v>
      </c>
      <c r="D148" s="13" t="s">
        <v>499</v>
      </c>
      <c r="E148" s="3" t="s">
        <v>500</v>
      </c>
      <c r="F148" s="13" t="s">
        <v>429</v>
      </c>
      <c r="G148" s="13" t="s">
        <v>80</v>
      </c>
      <c r="H148" s="13">
        <v>1</v>
      </c>
      <c r="I148" s="13">
        <v>2</v>
      </c>
      <c r="J148" s="13" t="s">
        <v>501</v>
      </c>
      <c r="K148" s="13" t="s">
        <v>119</v>
      </c>
      <c r="L148" s="15" t="s">
        <v>24</v>
      </c>
      <c r="M148" s="15" t="s">
        <v>46</v>
      </c>
      <c r="N148" s="3"/>
    </row>
    <row r="149" spans="1:14" x14ac:dyDescent="0.35">
      <c r="A149" s="13">
        <v>148</v>
      </c>
      <c r="B149" s="13" t="s">
        <v>86</v>
      </c>
      <c r="C149" s="13" t="s">
        <v>76</v>
      </c>
      <c r="D149" s="13" t="s">
        <v>502</v>
      </c>
      <c r="E149" s="3" t="s">
        <v>503</v>
      </c>
      <c r="F149" s="13" t="s">
        <v>429</v>
      </c>
      <c r="G149" s="13" t="s">
        <v>80</v>
      </c>
      <c r="H149" s="13">
        <v>1</v>
      </c>
      <c r="I149" s="13">
        <v>0</v>
      </c>
      <c r="J149" s="13" t="s">
        <v>504</v>
      </c>
      <c r="K149" s="13" t="s">
        <v>119</v>
      </c>
      <c r="L149" s="15" t="s">
        <v>20</v>
      </c>
      <c r="M149" s="15" t="s">
        <v>49</v>
      </c>
      <c r="N149" s="3"/>
    </row>
    <row r="150" spans="1:14" ht="62.5" x14ac:dyDescent="0.35">
      <c r="A150" s="13">
        <v>149</v>
      </c>
      <c r="B150" s="13" t="s">
        <v>86</v>
      </c>
      <c r="C150" s="13" t="s">
        <v>76</v>
      </c>
      <c r="D150" s="13" t="s">
        <v>505</v>
      </c>
      <c r="E150" s="3" t="s">
        <v>506</v>
      </c>
      <c r="F150" s="13" t="s">
        <v>429</v>
      </c>
      <c r="G150" s="13" t="s">
        <v>80</v>
      </c>
      <c r="H150" s="13">
        <v>0</v>
      </c>
      <c r="I150" s="13">
        <v>0</v>
      </c>
      <c r="J150" s="13" t="s">
        <v>507</v>
      </c>
      <c r="K150" s="13" t="s">
        <v>119</v>
      </c>
      <c r="L150" s="15" t="s">
        <v>12</v>
      </c>
      <c r="M150" s="15" t="s">
        <v>46</v>
      </c>
      <c r="N150" s="3"/>
    </row>
    <row r="151" spans="1:14" x14ac:dyDescent="0.35">
      <c r="A151" s="13">
        <v>150</v>
      </c>
      <c r="B151" s="13" t="s">
        <v>86</v>
      </c>
      <c r="C151" s="13" t="s">
        <v>76</v>
      </c>
      <c r="D151" s="13" t="s">
        <v>508</v>
      </c>
      <c r="E151" s="3" t="s">
        <v>509</v>
      </c>
      <c r="F151" s="13" t="s">
        <v>117</v>
      </c>
      <c r="G151" s="13" t="s">
        <v>80</v>
      </c>
      <c r="H151" s="13">
        <v>0</v>
      </c>
      <c r="I151" s="13">
        <v>0</v>
      </c>
      <c r="J151" s="13" t="s">
        <v>510</v>
      </c>
      <c r="K151" s="13" t="s">
        <v>119</v>
      </c>
      <c r="L151" s="15" t="s">
        <v>32</v>
      </c>
      <c r="M151" s="15" t="s">
        <v>49</v>
      </c>
      <c r="N151" s="3"/>
    </row>
    <row r="152" spans="1:14" x14ac:dyDescent="0.35">
      <c r="A152" s="13">
        <v>151</v>
      </c>
      <c r="B152" s="13" t="s">
        <v>86</v>
      </c>
      <c r="C152" s="13" t="s">
        <v>76</v>
      </c>
      <c r="D152" s="13" t="s">
        <v>191</v>
      </c>
      <c r="E152" s="3" t="s">
        <v>511</v>
      </c>
      <c r="F152" s="13" t="s">
        <v>429</v>
      </c>
      <c r="G152" s="13" t="s">
        <v>84</v>
      </c>
      <c r="H152" s="13">
        <v>0</v>
      </c>
      <c r="I152" s="13">
        <v>0</v>
      </c>
      <c r="J152" s="13" t="s">
        <v>512</v>
      </c>
      <c r="K152" s="13" t="s">
        <v>119</v>
      </c>
      <c r="L152" s="15" t="s">
        <v>24</v>
      </c>
      <c r="M152" s="15" t="s">
        <v>46</v>
      </c>
      <c r="N152" s="3"/>
    </row>
    <row r="153" spans="1:14" x14ac:dyDescent="0.35">
      <c r="A153" s="13">
        <v>152</v>
      </c>
      <c r="B153" s="13" t="s">
        <v>86</v>
      </c>
      <c r="C153" s="13" t="s">
        <v>76</v>
      </c>
      <c r="D153" s="13" t="s">
        <v>513</v>
      </c>
      <c r="E153" s="3" t="s">
        <v>514</v>
      </c>
      <c r="F153" s="13" t="s">
        <v>429</v>
      </c>
      <c r="G153" s="13" t="s">
        <v>80</v>
      </c>
      <c r="H153" s="13">
        <v>1</v>
      </c>
      <c r="I153" s="13">
        <v>2</v>
      </c>
      <c r="J153" s="13" t="s">
        <v>515</v>
      </c>
      <c r="K153" s="13" t="s">
        <v>119</v>
      </c>
      <c r="L153" s="15" t="s">
        <v>16</v>
      </c>
      <c r="M153" s="15" t="s">
        <v>49</v>
      </c>
      <c r="N153" s="3"/>
    </row>
    <row r="154" spans="1:14" x14ac:dyDescent="0.35">
      <c r="A154" s="13">
        <v>153</v>
      </c>
      <c r="B154" s="13" t="s">
        <v>86</v>
      </c>
      <c r="C154" s="13" t="s">
        <v>76</v>
      </c>
      <c r="D154" s="13" t="s">
        <v>516</v>
      </c>
      <c r="E154" s="3" t="s">
        <v>517</v>
      </c>
      <c r="F154" s="13" t="s">
        <v>117</v>
      </c>
      <c r="G154" s="13" t="s">
        <v>80</v>
      </c>
      <c r="H154" s="13">
        <v>0</v>
      </c>
      <c r="I154" s="13">
        <v>0</v>
      </c>
      <c r="J154" s="13" t="s">
        <v>518</v>
      </c>
      <c r="K154" s="13" t="s">
        <v>119</v>
      </c>
      <c r="L154" s="15" t="s">
        <v>24</v>
      </c>
      <c r="M154" s="15" t="s">
        <v>46</v>
      </c>
      <c r="N154" s="3"/>
    </row>
    <row r="155" spans="1:14" x14ac:dyDescent="0.35">
      <c r="A155" s="13">
        <v>154</v>
      </c>
      <c r="B155" s="13" t="s">
        <v>86</v>
      </c>
      <c r="C155" s="13" t="s">
        <v>76</v>
      </c>
      <c r="D155" s="13" t="s">
        <v>519</v>
      </c>
      <c r="E155" s="3" t="s">
        <v>520</v>
      </c>
      <c r="F155" s="13" t="s">
        <v>117</v>
      </c>
      <c r="G155" s="13" t="s">
        <v>84</v>
      </c>
      <c r="H155" s="13">
        <v>0</v>
      </c>
      <c r="I155" s="13">
        <v>0</v>
      </c>
      <c r="J155" s="13" t="s">
        <v>521</v>
      </c>
      <c r="K155" s="13" t="s">
        <v>119</v>
      </c>
      <c r="L155" s="15" t="s">
        <v>8</v>
      </c>
      <c r="M155" s="15" t="s">
        <v>43</v>
      </c>
      <c r="N155" s="3"/>
    </row>
    <row r="156" spans="1:14" ht="62.5" x14ac:dyDescent="0.35">
      <c r="A156" s="13">
        <v>155</v>
      </c>
      <c r="B156" s="13" t="s">
        <v>86</v>
      </c>
      <c r="C156" s="13" t="s">
        <v>76</v>
      </c>
      <c r="D156" s="13" t="s">
        <v>522</v>
      </c>
      <c r="E156" s="3" t="s">
        <v>523</v>
      </c>
      <c r="F156" s="13" t="s">
        <v>429</v>
      </c>
      <c r="G156" s="13" t="s">
        <v>80</v>
      </c>
      <c r="H156" s="13">
        <v>2</v>
      </c>
      <c r="I156" s="13">
        <v>0</v>
      </c>
      <c r="J156" s="13" t="s">
        <v>524</v>
      </c>
      <c r="K156" s="13" t="s">
        <v>119</v>
      </c>
      <c r="L156" s="15" t="s">
        <v>24</v>
      </c>
      <c r="M156" s="15" t="s">
        <v>46</v>
      </c>
      <c r="N156" s="3"/>
    </row>
    <row r="157" spans="1:14" ht="25" x14ac:dyDescent="0.35">
      <c r="A157" s="13">
        <v>156</v>
      </c>
      <c r="B157" s="13" t="s">
        <v>86</v>
      </c>
      <c r="C157" s="13" t="s">
        <v>76</v>
      </c>
      <c r="D157" s="13" t="s">
        <v>525</v>
      </c>
      <c r="E157" s="3" t="s">
        <v>526</v>
      </c>
      <c r="F157" s="13" t="s">
        <v>429</v>
      </c>
      <c r="G157" s="13" t="s">
        <v>80</v>
      </c>
      <c r="H157" s="13">
        <v>1</v>
      </c>
      <c r="I157" s="13">
        <v>0</v>
      </c>
      <c r="J157" s="13" t="s">
        <v>527</v>
      </c>
      <c r="K157" s="13" t="s">
        <v>119</v>
      </c>
      <c r="L157" s="15" t="s">
        <v>24</v>
      </c>
      <c r="M157" s="15" t="s">
        <v>46</v>
      </c>
      <c r="N157" s="3"/>
    </row>
    <row r="158" spans="1:14" ht="37.5" x14ac:dyDescent="0.35">
      <c r="A158" s="13">
        <v>157</v>
      </c>
      <c r="B158" s="13" t="s">
        <v>86</v>
      </c>
      <c r="C158" s="13" t="s">
        <v>76</v>
      </c>
      <c r="D158" s="13" t="s">
        <v>528</v>
      </c>
      <c r="E158" s="3" t="s">
        <v>529</v>
      </c>
      <c r="F158" s="13" t="s">
        <v>429</v>
      </c>
      <c r="G158" s="13" t="s">
        <v>80</v>
      </c>
      <c r="H158" s="13">
        <v>6</v>
      </c>
      <c r="I158" s="13">
        <v>0</v>
      </c>
      <c r="J158" s="13" t="s">
        <v>530</v>
      </c>
      <c r="K158" s="13" t="s">
        <v>119</v>
      </c>
      <c r="L158" s="15" t="s">
        <v>12</v>
      </c>
      <c r="M158" s="15" t="s">
        <v>43</v>
      </c>
      <c r="N158" s="3"/>
    </row>
    <row r="159" spans="1:14" x14ac:dyDescent="0.35">
      <c r="A159" s="13">
        <v>158</v>
      </c>
      <c r="B159" s="13" t="s">
        <v>86</v>
      </c>
      <c r="C159" s="13" t="s">
        <v>76</v>
      </c>
      <c r="D159" s="13" t="s">
        <v>531</v>
      </c>
      <c r="E159" s="3" t="s">
        <v>532</v>
      </c>
      <c r="F159" s="13" t="s">
        <v>429</v>
      </c>
      <c r="G159" s="13" t="s">
        <v>80</v>
      </c>
      <c r="H159" s="13">
        <v>2</v>
      </c>
      <c r="I159" s="13">
        <v>0</v>
      </c>
      <c r="J159" s="13" t="s">
        <v>533</v>
      </c>
      <c r="K159" s="13" t="s">
        <v>119</v>
      </c>
      <c r="L159" s="15" t="s">
        <v>16</v>
      </c>
      <c r="M159" s="15" t="s">
        <v>49</v>
      </c>
      <c r="N159" s="3"/>
    </row>
    <row r="160" spans="1:14" x14ac:dyDescent="0.35">
      <c r="A160" s="13">
        <v>159</v>
      </c>
      <c r="B160" s="13" t="s">
        <v>86</v>
      </c>
      <c r="C160" s="13" t="s">
        <v>76</v>
      </c>
      <c r="D160" s="13" t="s">
        <v>534</v>
      </c>
      <c r="E160" s="3" t="s">
        <v>535</v>
      </c>
      <c r="F160" s="13" t="s">
        <v>429</v>
      </c>
      <c r="G160" s="13" t="s">
        <v>80</v>
      </c>
      <c r="H160" s="13">
        <v>0</v>
      </c>
      <c r="I160" s="13">
        <v>0</v>
      </c>
      <c r="J160" s="13" t="s">
        <v>536</v>
      </c>
      <c r="K160" s="13" t="s">
        <v>119</v>
      </c>
      <c r="L160" s="15" t="s">
        <v>24</v>
      </c>
      <c r="M160" s="15" t="s">
        <v>46</v>
      </c>
      <c r="N160" s="3"/>
    </row>
    <row r="161" spans="1:14" ht="25" x14ac:dyDescent="0.35">
      <c r="A161" s="13">
        <v>160</v>
      </c>
      <c r="B161" s="13" t="s">
        <v>86</v>
      </c>
      <c r="C161" s="13" t="s">
        <v>76</v>
      </c>
      <c r="D161" s="13" t="s">
        <v>537</v>
      </c>
      <c r="E161" s="3" t="s">
        <v>538</v>
      </c>
      <c r="F161" s="13" t="s">
        <v>429</v>
      </c>
      <c r="G161" s="13" t="s">
        <v>80</v>
      </c>
      <c r="H161" s="13">
        <v>0</v>
      </c>
      <c r="I161" s="13">
        <v>3</v>
      </c>
      <c r="J161" s="13" t="s">
        <v>539</v>
      </c>
      <c r="K161" s="13" t="s">
        <v>119</v>
      </c>
      <c r="L161" s="15" t="s">
        <v>16</v>
      </c>
      <c r="M161" s="15" t="s">
        <v>49</v>
      </c>
      <c r="N161" s="3"/>
    </row>
    <row r="162" spans="1:14" ht="25" x14ac:dyDescent="0.35">
      <c r="A162" s="13">
        <v>161</v>
      </c>
      <c r="B162" s="13" t="s">
        <v>86</v>
      </c>
      <c r="C162" s="13" t="s">
        <v>76</v>
      </c>
      <c r="D162" s="13" t="s">
        <v>540</v>
      </c>
      <c r="E162" s="3" t="s">
        <v>541</v>
      </c>
      <c r="F162" s="13" t="s">
        <v>117</v>
      </c>
      <c r="G162" s="13" t="s">
        <v>84</v>
      </c>
      <c r="H162" s="13">
        <v>0</v>
      </c>
      <c r="I162" s="13">
        <v>1</v>
      </c>
      <c r="J162" s="13" t="s">
        <v>542</v>
      </c>
      <c r="K162" s="13" t="s">
        <v>119</v>
      </c>
      <c r="L162" s="15" t="s">
        <v>32</v>
      </c>
      <c r="M162" s="15" t="s">
        <v>49</v>
      </c>
      <c r="N162" s="3"/>
    </row>
    <row r="163" spans="1:14" x14ac:dyDescent="0.35">
      <c r="A163" s="13">
        <v>162</v>
      </c>
      <c r="B163" s="13" t="s">
        <v>86</v>
      </c>
      <c r="C163" s="13" t="s">
        <v>76</v>
      </c>
      <c r="D163" s="13" t="s">
        <v>540</v>
      </c>
      <c r="E163" s="3" t="s">
        <v>543</v>
      </c>
      <c r="F163" s="13" t="s">
        <v>117</v>
      </c>
      <c r="G163" s="13" t="s">
        <v>80</v>
      </c>
      <c r="H163" s="13">
        <v>1</v>
      </c>
      <c r="I163" s="13">
        <v>0</v>
      </c>
      <c r="J163" s="13" t="s">
        <v>544</v>
      </c>
      <c r="K163" s="13" t="s">
        <v>119</v>
      </c>
      <c r="L163" s="15" t="s">
        <v>12</v>
      </c>
      <c r="M163" s="15" t="s">
        <v>49</v>
      </c>
      <c r="N163" s="3"/>
    </row>
    <row r="164" spans="1:14" ht="25" x14ac:dyDescent="0.35">
      <c r="A164" s="13">
        <v>163</v>
      </c>
      <c r="B164" s="13" t="s">
        <v>86</v>
      </c>
      <c r="C164" s="13" t="s">
        <v>76</v>
      </c>
      <c r="D164" s="13" t="s">
        <v>545</v>
      </c>
      <c r="E164" s="3" t="s">
        <v>546</v>
      </c>
      <c r="F164" s="13" t="s">
        <v>429</v>
      </c>
      <c r="G164" s="13" t="s">
        <v>80</v>
      </c>
      <c r="H164" s="13">
        <v>2</v>
      </c>
      <c r="I164" s="13">
        <v>1</v>
      </c>
      <c r="J164" s="13" t="s">
        <v>547</v>
      </c>
      <c r="K164" s="13" t="s">
        <v>119</v>
      </c>
      <c r="L164" s="15" t="s">
        <v>36</v>
      </c>
      <c r="M164" s="15" t="s">
        <v>49</v>
      </c>
      <c r="N164" s="3"/>
    </row>
    <row r="165" spans="1:14" ht="37.5" x14ac:dyDescent="0.35">
      <c r="A165" s="13">
        <v>164</v>
      </c>
      <c r="B165" s="13" t="s">
        <v>86</v>
      </c>
      <c r="C165" s="13" t="s">
        <v>76</v>
      </c>
      <c r="D165" s="13" t="s">
        <v>548</v>
      </c>
      <c r="E165" s="3" t="s">
        <v>549</v>
      </c>
      <c r="F165" s="13" t="s">
        <v>117</v>
      </c>
      <c r="G165" s="13" t="s">
        <v>80</v>
      </c>
      <c r="H165" s="13">
        <v>0</v>
      </c>
      <c r="I165" s="13">
        <v>0</v>
      </c>
      <c r="J165" s="13" t="s">
        <v>550</v>
      </c>
      <c r="K165" s="13" t="s">
        <v>119</v>
      </c>
      <c r="L165" s="15" t="s">
        <v>36</v>
      </c>
      <c r="M165" s="15" t="s">
        <v>49</v>
      </c>
      <c r="N165" s="3"/>
    </row>
    <row r="166" spans="1:14" x14ac:dyDescent="0.35">
      <c r="A166" s="13">
        <v>165</v>
      </c>
      <c r="B166" s="13" t="s">
        <v>86</v>
      </c>
      <c r="C166" s="13" t="s">
        <v>76</v>
      </c>
      <c r="D166" s="13" t="s">
        <v>551</v>
      </c>
      <c r="E166" s="3" t="s">
        <v>552</v>
      </c>
      <c r="F166" s="13" t="s">
        <v>429</v>
      </c>
      <c r="G166" s="13" t="s">
        <v>80</v>
      </c>
      <c r="H166" s="13">
        <v>0</v>
      </c>
      <c r="I166" s="13">
        <v>0</v>
      </c>
      <c r="J166" s="13" t="s">
        <v>553</v>
      </c>
      <c r="K166" s="13" t="s">
        <v>119</v>
      </c>
      <c r="L166" s="15" t="s">
        <v>16</v>
      </c>
      <c r="M166" s="15" t="s">
        <v>49</v>
      </c>
      <c r="N166" s="3"/>
    </row>
    <row r="167" spans="1:14" x14ac:dyDescent="0.35">
      <c r="A167" s="13">
        <v>166</v>
      </c>
      <c r="B167" s="13" t="s">
        <v>86</v>
      </c>
      <c r="C167" s="13" t="s">
        <v>76</v>
      </c>
      <c r="D167" s="13" t="s">
        <v>554</v>
      </c>
      <c r="E167" s="3" t="s">
        <v>555</v>
      </c>
      <c r="F167" s="13" t="s">
        <v>429</v>
      </c>
      <c r="G167" s="13" t="s">
        <v>80</v>
      </c>
      <c r="H167" s="13">
        <v>7</v>
      </c>
      <c r="I167" s="13">
        <v>2</v>
      </c>
      <c r="J167" s="13" t="s">
        <v>556</v>
      </c>
      <c r="K167" s="13" t="s">
        <v>119</v>
      </c>
      <c r="L167" s="15" t="s">
        <v>36</v>
      </c>
      <c r="M167" s="15" t="s">
        <v>49</v>
      </c>
      <c r="N167" s="3"/>
    </row>
    <row r="168" spans="1:14" x14ac:dyDescent="0.35">
      <c r="A168" s="13">
        <v>167</v>
      </c>
      <c r="B168" s="13" t="s">
        <v>86</v>
      </c>
      <c r="C168" s="13" t="s">
        <v>76</v>
      </c>
      <c r="D168" s="13" t="s">
        <v>557</v>
      </c>
      <c r="E168" s="3" t="s">
        <v>558</v>
      </c>
      <c r="F168" s="13" t="s">
        <v>429</v>
      </c>
      <c r="G168" s="13" t="s">
        <v>80</v>
      </c>
      <c r="H168" s="13">
        <v>0</v>
      </c>
      <c r="I168" s="13">
        <v>0</v>
      </c>
      <c r="J168" s="13" t="s">
        <v>559</v>
      </c>
      <c r="K168" s="13" t="s">
        <v>119</v>
      </c>
      <c r="L168" s="15" t="s">
        <v>8</v>
      </c>
      <c r="M168" s="15" t="s">
        <v>43</v>
      </c>
      <c r="N168" s="3"/>
    </row>
    <row r="169" spans="1:14" x14ac:dyDescent="0.35">
      <c r="A169" s="13">
        <v>168</v>
      </c>
      <c r="B169" s="13" t="s">
        <v>86</v>
      </c>
      <c r="C169" s="13" t="s">
        <v>76</v>
      </c>
      <c r="D169" s="13" t="s">
        <v>560</v>
      </c>
      <c r="E169" s="3" t="s">
        <v>561</v>
      </c>
      <c r="F169" s="13" t="s">
        <v>429</v>
      </c>
      <c r="G169" s="13" t="s">
        <v>80</v>
      </c>
      <c r="H169" s="13">
        <v>0</v>
      </c>
      <c r="I169" s="13">
        <v>0</v>
      </c>
      <c r="J169" s="13" t="s">
        <v>562</v>
      </c>
      <c r="K169" s="13" t="s">
        <v>119</v>
      </c>
      <c r="L169" s="15" t="s">
        <v>16</v>
      </c>
      <c r="M169" s="15" t="s">
        <v>49</v>
      </c>
      <c r="N169" s="3"/>
    </row>
    <row r="170" spans="1:14" x14ac:dyDescent="0.35">
      <c r="A170" s="13">
        <v>169</v>
      </c>
      <c r="B170" s="13" t="s">
        <v>86</v>
      </c>
      <c r="C170" s="13" t="s">
        <v>76</v>
      </c>
      <c r="D170" s="13" t="s">
        <v>563</v>
      </c>
      <c r="E170" s="3" t="s">
        <v>564</v>
      </c>
      <c r="F170" s="13" t="s">
        <v>429</v>
      </c>
      <c r="G170" s="13" t="s">
        <v>80</v>
      </c>
      <c r="H170" s="13">
        <v>1</v>
      </c>
      <c r="I170" s="13">
        <v>1</v>
      </c>
      <c r="J170" s="13" t="s">
        <v>565</v>
      </c>
      <c r="K170" s="13" t="s">
        <v>119</v>
      </c>
      <c r="L170" s="15" t="s">
        <v>16</v>
      </c>
      <c r="M170" s="15" t="s">
        <v>49</v>
      </c>
      <c r="N170" s="3"/>
    </row>
    <row r="171" spans="1:14" x14ac:dyDescent="0.35">
      <c r="A171" s="13">
        <v>170</v>
      </c>
      <c r="B171" s="13" t="s">
        <v>86</v>
      </c>
      <c r="C171" s="13" t="s">
        <v>76</v>
      </c>
      <c r="D171" s="13" t="s">
        <v>566</v>
      </c>
      <c r="E171" s="3" t="s">
        <v>567</v>
      </c>
      <c r="F171" s="13" t="s">
        <v>117</v>
      </c>
      <c r="G171" s="13" t="s">
        <v>84</v>
      </c>
      <c r="H171" s="13">
        <v>0</v>
      </c>
      <c r="I171" s="13">
        <v>0</v>
      </c>
      <c r="J171" s="13" t="s">
        <v>568</v>
      </c>
      <c r="K171" s="13" t="s">
        <v>119</v>
      </c>
      <c r="L171" s="15" t="s">
        <v>32</v>
      </c>
      <c r="M171" s="15" t="s">
        <v>49</v>
      </c>
      <c r="N171" s="3"/>
    </row>
    <row r="172" spans="1:14" x14ac:dyDescent="0.35">
      <c r="A172" s="13">
        <v>171</v>
      </c>
      <c r="B172" s="13" t="s">
        <v>86</v>
      </c>
      <c r="C172" s="13" t="s">
        <v>76</v>
      </c>
      <c r="D172" s="13" t="s">
        <v>569</v>
      </c>
      <c r="E172" s="3" t="s">
        <v>570</v>
      </c>
      <c r="F172" s="13" t="s">
        <v>429</v>
      </c>
      <c r="G172" s="13" t="s">
        <v>80</v>
      </c>
      <c r="H172" s="13">
        <v>0</v>
      </c>
      <c r="I172" s="13">
        <v>0</v>
      </c>
      <c r="J172" s="13" t="s">
        <v>571</v>
      </c>
      <c r="K172" s="13" t="s">
        <v>119</v>
      </c>
      <c r="L172" s="15" t="s">
        <v>12</v>
      </c>
      <c r="M172" s="15" t="s">
        <v>43</v>
      </c>
      <c r="N172" s="3"/>
    </row>
    <row r="173" spans="1:14" x14ac:dyDescent="0.35">
      <c r="A173" s="13">
        <v>172</v>
      </c>
      <c r="B173" s="13" t="s">
        <v>86</v>
      </c>
      <c r="C173" s="13" t="s">
        <v>76</v>
      </c>
      <c r="D173" s="13" t="s">
        <v>572</v>
      </c>
      <c r="E173" s="3" t="s">
        <v>573</v>
      </c>
      <c r="F173" s="13" t="s">
        <v>117</v>
      </c>
      <c r="G173" s="13" t="s">
        <v>84</v>
      </c>
      <c r="H173" s="13">
        <v>0</v>
      </c>
      <c r="I173" s="13">
        <v>0</v>
      </c>
      <c r="J173" s="13" t="s">
        <v>574</v>
      </c>
      <c r="K173" s="13" t="s">
        <v>119</v>
      </c>
      <c r="L173" s="15" t="s">
        <v>16</v>
      </c>
      <c r="M173" s="15" t="s">
        <v>49</v>
      </c>
      <c r="N173" s="3"/>
    </row>
    <row r="174" spans="1:14" x14ac:dyDescent="0.35">
      <c r="A174" s="13">
        <v>173</v>
      </c>
      <c r="B174" s="13" t="s">
        <v>86</v>
      </c>
      <c r="C174" s="13" t="s">
        <v>76</v>
      </c>
      <c r="D174" s="13" t="s">
        <v>572</v>
      </c>
      <c r="E174" s="3" t="s">
        <v>575</v>
      </c>
      <c r="F174" s="13" t="s">
        <v>117</v>
      </c>
      <c r="G174" s="13" t="s">
        <v>80</v>
      </c>
      <c r="H174" s="13">
        <v>0</v>
      </c>
      <c r="I174" s="13">
        <v>0</v>
      </c>
      <c r="J174" s="13" t="s">
        <v>576</v>
      </c>
      <c r="K174" s="13" t="s">
        <v>119</v>
      </c>
      <c r="L174" s="15" t="s">
        <v>24</v>
      </c>
      <c r="M174" s="15" t="s">
        <v>46</v>
      </c>
      <c r="N174" s="3"/>
    </row>
    <row r="175" spans="1:14" x14ac:dyDescent="0.35">
      <c r="A175" s="13">
        <v>174</v>
      </c>
      <c r="B175" s="13" t="s">
        <v>86</v>
      </c>
      <c r="C175" s="13" t="s">
        <v>76</v>
      </c>
      <c r="D175" s="13" t="s">
        <v>577</v>
      </c>
      <c r="E175" s="3" t="s">
        <v>578</v>
      </c>
      <c r="F175" s="13" t="s">
        <v>429</v>
      </c>
      <c r="G175" s="13" t="s">
        <v>84</v>
      </c>
      <c r="H175" s="13">
        <v>0</v>
      </c>
      <c r="I175" s="13">
        <v>0</v>
      </c>
      <c r="J175" s="13" t="s">
        <v>579</v>
      </c>
      <c r="K175" s="13" t="s">
        <v>119</v>
      </c>
      <c r="L175" s="15" t="s">
        <v>32</v>
      </c>
      <c r="M175" s="15" t="s">
        <v>49</v>
      </c>
      <c r="N175" s="3"/>
    </row>
    <row r="176" spans="1:14" x14ac:dyDescent="0.35">
      <c r="A176" s="13">
        <v>175</v>
      </c>
      <c r="B176" s="13" t="s">
        <v>86</v>
      </c>
      <c r="C176" s="13" t="s">
        <v>76</v>
      </c>
      <c r="D176" s="13" t="s">
        <v>580</v>
      </c>
      <c r="E176" s="3" t="s">
        <v>581</v>
      </c>
      <c r="F176" s="13" t="s">
        <v>429</v>
      </c>
      <c r="G176" s="13" t="s">
        <v>80</v>
      </c>
      <c r="H176" s="13">
        <v>4</v>
      </c>
      <c r="I176" s="13">
        <v>3</v>
      </c>
      <c r="J176" s="13" t="s">
        <v>582</v>
      </c>
      <c r="K176" s="13" t="s">
        <v>119</v>
      </c>
      <c r="L176" s="15" t="s">
        <v>16</v>
      </c>
      <c r="M176" s="15" t="s">
        <v>49</v>
      </c>
      <c r="N176" s="3"/>
    </row>
    <row r="177" spans="1:14" x14ac:dyDescent="0.35">
      <c r="A177" s="13">
        <v>176</v>
      </c>
      <c r="B177" s="13" t="s">
        <v>86</v>
      </c>
      <c r="C177" s="13" t="s">
        <v>76</v>
      </c>
      <c r="D177" s="13" t="s">
        <v>583</v>
      </c>
      <c r="E177" s="3" t="s">
        <v>584</v>
      </c>
      <c r="F177" s="13" t="s">
        <v>429</v>
      </c>
      <c r="G177" s="13" t="s">
        <v>80</v>
      </c>
      <c r="H177" s="13">
        <v>0</v>
      </c>
      <c r="I177" s="13">
        <v>0</v>
      </c>
      <c r="J177" s="13" t="s">
        <v>585</v>
      </c>
      <c r="K177" s="13" t="s">
        <v>119</v>
      </c>
      <c r="L177" s="15" t="s">
        <v>8</v>
      </c>
      <c r="M177" s="15" t="s">
        <v>43</v>
      </c>
      <c r="N177" s="3"/>
    </row>
    <row r="178" spans="1:14" x14ac:dyDescent="0.35">
      <c r="A178" s="13">
        <v>177</v>
      </c>
      <c r="B178" s="13" t="s">
        <v>86</v>
      </c>
      <c r="C178" s="13" t="s">
        <v>76</v>
      </c>
      <c r="D178" s="13" t="s">
        <v>583</v>
      </c>
      <c r="E178" s="3" t="s">
        <v>586</v>
      </c>
      <c r="F178" s="13" t="s">
        <v>429</v>
      </c>
      <c r="G178" s="13" t="s">
        <v>80</v>
      </c>
      <c r="H178" s="13">
        <v>0</v>
      </c>
      <c r="I178" s="13">
        <v>0</v>
      </c>
      <c r="J178" s="13" t="s">
        <v>587</v>
      </c>
      <c r="K178" s="13" t="s">
        <v>119</v>
      </c>
      <c r="L178" s="15" t="s">
        <v>16</v>
      </c>
      <c r="M178" s="15" t="s">
        <v>49</v>
      </c>
      <c r="N178" s="3"/>
    </row>
    <row r="179" spans="1:14" ht="25" x14ac:dyDescent="0.35">
      <c r="A179" s="13">
        <v>178</v>
      </c>
      <c r="B179" s="13" t="s">
        <v>86</v>
      </c>
      <c r="C179" s="13" t="s">
        <v>76</v>
      </c>
      <c r="D179" s="13" t="s">
        <v>588</v>
      </c>
      <c r="E179" s="3" t="s">
        <v>589</v>
      </c>
      <c r="F179" s="13" t="s">
        <v>429</v>
      </c>
      <c r="G179" s="13" t="s">
        <v>80</v>
      </c>
      <c r="H179" s="13">
        <v>0</v>
      </c>
      <c r="I179" s="13">
        <v>0</v>
      </c>
      <c r="J179" s="13" t="s">
        <v>590</v>
      </c>
      <c r="K179" s="13" t="s">
        <v>119</v>
      </c>
      <c r="L179" s="15" t="s">
        <v>24</v>
      </c>
      <c r="M179" s="15" t="s">
        <v>46</v>
      </c>
      <c r="N179" s="3"/>
    </row>
    <row r="180" spans="1:14" x14ac:dyDescent="0.35">
      <c r="A180" s="13">
        <v>179</v>
      </c>
      <c r="B180" s="13" t="s">
        <v>591</v>
      </c>
      <c r="C180" s="13" t="s">
        <v>76</v>
      </c>
      <c r="D180" s="13" t="s">
        <v>592</v>
      </c>
      <c r="E180" s="3" t="s">
        <v>593</v>
      </c>
      <c r="F180" s="13" t="s">
        <v>117</v>
      </c>
      <c r="G180" s="13" t="s">
        <v>80</v>
      </c>
      <c r="H180" s="13">
        <v>0</v>
      </c>
      <c r="I180" s="13">
        <v>0</v>
      </c>
      <c r="J180" s="13" t="s">
        <v>594</v>
      </c>
      <c r="K180" s="13" t="s">
        <v>119</v>
      </c>
      <c r="L180" s="15" t="s">
        <v>8</v>
      </c>
      <c r="M180" s="15" t="s">
        <v>43</v>
      </c>
      <c r="N180" s="3"/>
    </row>
    <row r="181" spans="1:14" x14ac:dyDescent="0.35">
      <c r="A181" s="13">
        <v>180</v>
      </c>
      <c r="B181" s="13" t="s">
        <v>591</v>
      </c>
      <c r="C181" s="13" t="s">
        <v>76</v>
      </c>
      <c r="D181" s="13" t="s">
        <v>595</v>
      </c>
      <c r="E181" s="3" t="s">
        <v>596</v>
      </c>
      <c r="F181" s="13" t="s">
        <v>429</v>
      </c>
      <c r="G181" s="13" t="s">
        <v>84</v>
      </c>
      <c r="H181" s="13">
        <v>1</v>
      </c>
      <c r="I181" s="13">
        <v>0</v>
      </c>
      <c r="J181" s="13" t="s">
        <v>597</v>
      </c>
      <c r="K181" s="13" t="s">
        <v>119</v>
      </c>
      <c r="L181" s="15" t="s">
        <v>24</v>
      </c>
      <c r="M181" s="15" t="s">
        <v>46</v>
      </c>
      <c r="N181" s="3"/>
    </row>
    <row r="182" spans="1:14" x14ac:dyDescent="0.35">
      <c r="A182" s="13">
        <v>181</v>
      </c>
      <c r="B182" s="13" t="s">
        <v>591</v>
      </c>
      <c r="C182" s="13" t="s">
        <v>76</v>
      </c>
      <c r="D182" s="13" t="s">
        <v>598</v>
      </c>
      <c r="E182" s="3" t="s">
        <v>599</v>
      </c>
      <c r="F182" s="13" t="s">
        <v>429</v>
      </c>
      <c r="G182" s="13" t="s">
        <v>80</v>
      </c>
      <c r="H182" s="13">
        <v>1</v>
      </c>
      <c r="I182" s="13">
        <v>1</v>
      </c>
      <c r="J182" s="13" t="s">
        <v>600</v>
      </c>
      <c r="K182" s="13" t="s">
        <v>119</v>
      </c>
      <c r="L182" s="15" t="s">
        <v>24</v>
      </c>
      <c r="M182" s="15" t="s">
        <v>46</v>
      </c>
      <c r="N182" s="3"/>
    </row>
    <row r="183" spans="1:14" x14ac:dyDescent="0.35">
      <c r="A183" s="13">
        <v>182</v>
      </c>
      <c r="B183" s="13" t="s">
        <v>591</v>
      </c>
      <c r="C183" s="13" t="s">
        <v>76</v>
      </c>
      <c r="D183" s="13" t="s">
        <v>601</v>
      </c>
      <c r="E183" s="3" t="s">
        <v>602</v>
      </c>
      <c r="F183" s="13" t="s">
        <v>117</v>
      </c>
      <c r="G183" s="13" t="s">
        <v>80</v>
      </c>
      <c r="H183" s="13">
        <v>0</v>
      </c>
      <c r="I183" s="13">
        <v>0</v>
      </c>
      <c r="J183" s="13" t="s">
        <v>603</v>
      </c>
      <c r="K183" s="13" t="s">
        <v>119</v>
      </c>
      <c r="L183" s="15" t="s">
        <v>36</v>
      </c>
      <c r="M183" s="15" t="s">
        <v>49</v>
      </c>
      <c r="N183" s="3"/>
    </row>
    <row r="184" spans="1:14" x14ac:dyDescent="0.35">
      <c r="A184" s="13">
        <v>183</v>
      </c>
      <c r="B184" s="13" t="s">
        <v>591</v>
      </c>
      <c r="C184" s="13" t="s">
        <v>76</v>
      </c>
      <c r="D184" s="13" t="s">
        <v>604</v>
      </c>
      <c r="E184" s="3" t="s">
        <v>605</v>
      </c>
      <c r="F184" s="13" t="s">
        <v>429</v>
      </c>
      <c r="G184" s="13" t="s">
        <v>80</v>
      </c>
      <c r="H184" s="13">
        <v>0</v>
      </c>
      <c r="I184" s="13">
        <v>0</v>
      </c>
      <c r="J184" s="13" t="s">
        <v>606</v>
      </c>
      <c r="K184" s="13" t="s">
        <v>119</v>
      </c>
      <c r="L184" s="15" t="s">
        <v>12</v>
      </c>
      <c r="M184" s="15" t="s">
        <v>43</v>
      </c>
      <c r="N184" s="3"/>
    </row>
    <row r="185" spans="1:14" ht="125" x14ac:dyDescent="0.35">
      <c r="A185" s="13">
        <v>184</v>
      </c>
      <c r="B185" s="13" t="s">
        <v>591</v>
      </c>
      <c r="C185" s="13" t="s">
        <v>76</v>
      </c>
      <c r="D185" s="13" t="s">
        <v>326</v>
      </c>
      <c r="E185" s="3" t="s">
        <v>607</v>
      </c>
      <c r="F185" s="13" t="s">
        <v>117</v>
      </c>
      <c r="G185" s="13" t="s">
        <v>84</v>
      </c>
      <c r="H185" s="13">
        <v>0</v>
      </c>
      <c r="I185" s="13">
        <v>0</v>
      </c>
      <c r="J185" s="13" t="s">
        <v>608</v>
      </c>
      <c r="K185" s="13" t="s">
        <v>119</v>
      </c>
      <c r="L185" s="15" t="s">
        <v>36</v>
      </c>
      <c r="M185" s="15" t="s">
        <v>46</v>
      </c>
      <c r="N185" s="3"/>
    </row>
    <row r="186" spans="1:14" x14ac:dyDescent="0.35">
      <c r="A186" s="13">
        <v>185</v>
      </c>
      <c r="B186" s="13" t="s">
        <v>591</v>
      </c>
      <c r="C186" s="13" t="s">
        <v>76</v>
      </c>
      <c r="D186" s="13" t="s">
        <v>609</v>
      </c>
      <c r="E186" s="3" t="s">
        <v>610</v>
      </c>
      <c r="F186" s="13" t="s">
        <v>429</v>
      </c>
      <c r="G186" s="13" t="s">
        <v>80</v>
      </c>
      <c r="H186" s="13">
        <v>0</v>
      </c>
      <c r="I186" s="13">
        <v>0</v>
      </c>
      <c r="J186" s="13" t="s">
        <v>611</v>
      </c>
      <c r="K186" s="13" t="s">
        <v>119</v>
      </c>
      <c r="L186" s="15" t="s">
        <v>24</v>
      </c>
      <c r="M186" s="15" t="s">
        <v>46</v>
      </c>
      <c r="N186" s="3"/>
    </row>
    <row r="187" spans="1:14" x14ac:dyDescent="0.35">
      <c r="A187" s="13">
        <v>186</v>
      </c>
      <c r="B187" s="13" t="s">
        <v>591</v>
      </c>
      <c r="C187" s="13" t="s">
        <v>76</v>
      </c>
      <c r="D187" s="13" t="s">
        <v>612</v>
      </c>
      <c r="E187" s="3" t="s">
        <v>613</v>
      </c>
      <c r="F187" s="13" t="s">
        <v>429</v>
      </c>
      <c r="G187" s="13" t="s">
        <v>80</v>
      </c>
      <c r="H187" s="13">
        <v>0</v>
      </c>
      <c r="I187" s="13">
        <v>0</v>
      </c>
      <c r="J187" s="13" t="s">
        <v>614</v>
      </c>
      <c r="K187" s="13" t="s">
        <v>119</v>
      </c>
      <c r="L187" s="15" t="s">
        <v>12</v>
      </c>
      <c r="M187" s="15" t="s">
        <v>43</v>
      </c>
      <c r="N187" s="3"/>
    </row>
    <row r="188" spans="1:14" x14ac:dyDescent="0.35">
      <c r="A188" s="13">
        <v>187</v>
      </c>
      <c r="B188" s="13" t="s">
        <v>591</v>
      </c>
      <c r="C188" s="13" t="s">
        <v>76</v>
      </c>
      <c r="D188" s="13" t="s">
        <v>615</v>
      </c>
      <c r="E188" s="3" t="s">
        <v>616</v>
      </c>
      <c r="F188" s="13" t="s">
        <v>429</v>
      </c>
      <c r="G188" s="13" t="s">
        <v>84</v>
      </c>
      <c r="H188" s="13">
        <v>0</v>
      </c>
      <c r="I188" s="13">
        <v>0</v>
      </c>
      <c r="J188" s="13" t="s">
        <v>617</v>
      </c>
      <c r="K188" s="13" t="s">
        <v>119</v>
      </c>
      <c r="L188" s="15" t="s">
        <v>32</v>
      </c>
      <c r="M188" s="15" t="s">
        <v>49</v>
      </c>
      <c r="N188" s="3"/>
    </row>
    <row r="189" spans="1:14" ht="25" x14ac:dyDescent="0.35">
      <c r="A189" s="13">
        <v>188</v>
      </c>
      <c r="B189" s="13" t="s">
        <v>591</v>
      </c>
      <c r="C189" s="13" t="s">
        <v>76</v>
      </c>
      <c r="D189" s="13" t="s">
        <v>618</v>
      </c>
      <c r="E189" s="3" t="s">
        <v>619</v>
      </c>
      <c r="F189" s="13" t="s">
        <v>117</v>
      </c>
      <c r="G189" s="13" t="s">
        <v>80</v>
      </c>
      <c r="H189" s="13">
        <v>0</v>
      </c>
      <c r="I189" s="13">
        <v>0</v>
      </c>
      <c r="J189" s="13" t="s">
        <v>620</v>
      </c>
      <c r="K189" s="13" t="s">
        <v>119</v>
      </c>
      <c r="L189" s="15" t="s">
        <v>16</v>
      </c>
      <c r="M189" s="15" t="s">
        <v>49</v>
      </c>
      <c r="N189" s="3"/>
    </row>
    <row r="190" spans="1:14" ht="25" x14ac:dyDescent="0.35">
      <c r="A190" s="13">
        <v>189</v>
      </c>
      <c r="B190" s="13" t="s">
        <v>591</v>
      </c>
      <c r="C190" s="13" t="s">
        <v>76</v>
      </c>
      <c r="D190" s="13" t="s">
        <v>598</v>
      </c>
      <c r="E190" s="3" t="s">
        <v>621</v>
      </c>
      <c r="F190" s="13" t="s">
        <v>117</v>
      </c>
      <c r="G190" s="13" t="s">
        <v>80</v>
      </c>
      <c r="H190" s="13">
        <v>0</v>
      </c>
      <c r="I190" s="13">
        <v>0</v>
      </c>
      <c r="J190" s="13" t="s">
        <v>622</v>
      </c>
      <c r="K190" s="13" t="s">
        <v>119</v>
      </c>
      <c r="L190" s="15" t="s">
        <v>24</v>
      </c>
      <c r="M190" s="15" t="s">
        <v>46</v>
      </c>
      <c r="N190" s="3"/>
    </row>
    <row r="191" spans="1:14" x14ac:dyDescent="0.35">
      <c r="A191" s="13">
        <v>190</v>
      </c>
      <c r="B191" s="13" t="s">
        <v>591</v>
      </c>
      <c r="C191" s="13" t="s">
        <v>76</v>
      </c>
      <c r="D191" s="13" t="s">
        <v>537</v>
      </c>
      <c r="E191" s="3" t="s">
        <v>623</v>
      </c>
      <c r="F191" s="13" t="s">
        <v>429</v>
      </c>
      <c r="G191" s="13" t="s">
        <v>84</v>
      </c>
      <c r="H191" s="13">
        <v>0</v>
      </c>
      <c r="I191" s="13">
        <v>0</v>
      </c>
      <c r="J191" s="13" t="s">
        <v>624</v>
      </c>
      <c r="K191" s="13" t="s">
        <v>119</v>
      </c>
      <c r="L191" s="15" t="s">
        <v>32</v>
      </c>
      <c r="M191" s="15" t="s">
        <v>49</v>
      </c>
      <c r="N191" s="3"/>
    </row>
    <row r="192" spans="1:14" x14ac:dyDescent="0.35">
      <c r="A192" s="13">
        <v>191</v>
      </c>
      <c r="B192" s="13" t="s">
        <v>591</v>
      </c>
      <c r="C192" s="13" t="s">
        <v>76</v>
      </c>
      <c r="D192" s="13" t="s">
        <v>625</v>
      </c>
      <c r="E192" s="3" t="s">
        <v>626</v>
      </c>
      <c r="F192" s="13" t="s">
        <v>429</v>
      </c>
      <c r="G192" s="13" t="s">
        <v>80</v>
      </c>
      <c r="H192" s="13">
        <v>1</v>
      </c>
      <c r="I192" s="13">
        <v>0</v>
      </c>
      <c r="J192" s="13" t="s">
        <v>627</v>
      </c>
      <c r="K192" s="13" t="s">
        <v>119</v>
      </c>
      <c r="L192" s="15" t="s">
        <v>16</v>
      </c>
      <c r="M192" s="15" t="s">
        <v>49</v>
      </c>
      <c r="N192" s="3"/>
    </row>
    <row r="193" spans="1:14" x14ac:dyDescent="0.35">
      <c r="A193" s="13">
        <v>192</v>
      </c>
      <c r="B193" s="13" t="s">
        <v>591</v>
      </c>
      <c r="C193" s="13" t="s">
        <v>76</v>
      </c>
      <c r="D193" s="13" t="s">
        <v>628</v>
      </c>
      <c r="E193" s="3" t="s">
        <v>629</v>
      </c>
      <c r="F193" s="13" t="s">
        <v>429</v>
      </c>
      <c r="G193" s="13" t="s">
        <v>80</v>
      </c>
      <c r="H193" s="13">
        <v>0</v>
      </c>
      <c r="I193" s="13">
        <v>0</v>
      </c>
      <c r="J193" s="13" t="s">
        <v>630</v>
      </c>
      <c r="K193" s="13" t="s">
        <v>119</v>
      </c>
      <c r="L193" s="15" t="s">
        <v>28</v>
      </c>
      <c r="M193" s="15" t="s">
        <v>49</v>
      </c>
      <c r="N193" s="3"/>
    </row>
    <row r="194" spans="1:14" x14ac:dyDescent="0.35">
      <c r="A194" s="13">
        <v>193</v>
      </c>
      <c r="B194" s="13" t="s">
        <v>591</v>
      </c>
      <c r="C194" s="13" t="s">
        <v>76</v>
      </c>
      <c r="D194" s="13" t="s">
        <v>631</v>
      </c>
      <c r="E194" s="3" t="s">
        <v>632</v>
      </c>
      <c r="F194" s="13" t="s">
        <v>429</v>
      </c>
      <c r="G194" s="13" t="s">
        <v>80</v>
      </c>
      <c r="H194" s="13">
        <v>2</v>
      </c>
      <c r="I194" s="13">
        <v>0</v>
      </c>
      <c r="J194" s="13" t="s">
        <v>633</v>
      </c>
      <c r="K194" s="13" t="s">
        <v>119</v>
      </c>
      <c r="L194" s="15" t="s">
        <v>36</v>
      </c>
      <c r="M194" s="15" t="s">
        <v>49</v>
      </c>
      <c r="N194" s="3"/>
    </row>
    <row r="195" spans="1:14" x14ac:dyDescent="0.35">
      <c r="A195" s="13">
        <v>194</v>
      </c>
      <c r="B195" s="13" t="s">
        <v>591</v>
      </c>
      <c r="C195" s="13" t="s">
        <v>76</v>
      </c>
      <c r="D195" s="13" t="s">
        <v>634</v>
      </c>
      <c r="E195" s="3" t="s">
        <v>635</v>
      </c>
      <c r="F195" s="13" t="s">
        <v>429</v>
      </c>
      <c r="G195" s="13" t="s">
        <v>84</v>
      </c>
      <c r="H195" s="13">
        <v>0</v>
      </c>
      <c r="I195" s="13">
        <v>0</v>
      </c>
      <c r="J195" s="13" t="s">
        <v>636</v>
      </c>
      <c r="K195" s="13" t="s">
        <v>119</v>
      </c>
      <c r="L195" s="15" t="s">
        <v>32</v>
      </c>
      <c r="M195" s="15" t="s">
        <v>49</v>
      </c>
      <c r="N195" s="3"/>
    </row>
    <row r="196" spans="1:14" ht="25" x14ac:dyDescent="0.35">
      <c r="A196" s="13">
        <v>195</v>
      </c>
      <c r="B196" s="13" t="s">
        <v>591</v>
      </c>
      <c r="C196" s="13" t="s">
        <v>76</v>
      </c>
      <c r="D196" s="13" t="s">
        <v>637</v>
      </c>
      <c r="E196" s="3" t="s">
        <v>638</v>
      </c>
      <c r="F196" s="13" t="s">
        <v>429</v>
      </c>
      <c r="G196" s="13" t="s">
        <v>80</v>
      </c>
      <c r="H196" s="13">
        <v>1</v>
      </c>
      <c r="I196" s="13">
        <v>0</v>
      </c>
      <c r="J196" s="13" t="s">
        <v>639</v>
      </c>
      <c r="K196" s="13" t="s">
        <v>119</v>
      </c>
      <c r="L196" s="15" t="s">
        <v>24</v>
      </c>
      <c r="M196" s="15" t="s">
        <v>46</v>
      </c>
      <c r="N196" s="3"/>
    </row>
    <row r="197" spans="1:14" x14ac:dyDescent="0.35">
      <c r="A197" s="13">
        <v>196</v>
      </c>
      <c r="B197" s="13" t="s">
        <v>591</v>
      </c>
      <c r="C197" s="13" t="s">
        <v>76</v>
      </c>
      <c r="D197" s="13" t="s">
        <v>640</v>
      </c>
      <c r="E197" s="3" t="s">
        <v>641</v>
      </c>
      <c r="F197" s="13" t="s">
        <v>429</v>
      </c>
      <c r="G197" s="13" t="s">
        <v>80</v>
      </c>
      <c r="H197" s="13">
        <v>0</v>
      </c>
      <c r="I197" s="13">
        <v>0</v>
      </c>
      <c r="J197" s="13" t="s">
        <v>642</v>
      </c>
      <c r="K197" s="13" t="s">
        <v>119</v>
      </c>
      <c r="L197" s="15" t="s">
        <v>8</v>
      </c>
      <c r="M197" s="15" t="s">
        <v>43</v>
      </c>
      <c r="N197" s="3"/>
    </row>
    <row r="198" spans="1:14" x14ac:dyDescent="0.35">
      <c r="A198" s="13">
        <v>197</v>
      </c>
      <c r="B198" s="13" t="s">
        <v>591</v>
      </c>
      <c r="C198" s="13" t="s">
        <v>76</v>
      </c>
      <c r="D198" s="13" t="s">
        <v>643</v>
      </c>
      <c r="E198" s="3" t="s">
        <v>644</v>
      </c>
      <c r="F198" s="13" t="s">
        <v>429</v>
      </c>
      <c r="G198" s="13" t="s">
        <v>80</v>
      </c>
      <c r="H198" s="13">
        <v>0</v>
      </c>
      <c r="I198" s="13">
        <v>0</v>
      </c>
      <c r="J198" s="13" t="s">
        <v>645</v>
      </c>
      <c r="K198" s="13" t="s">
        <v>119</v>
      </c>
      <c r="L198" s="15" t="s">
        <v>24</v>
      </c>
      <c r="M198" s="15" t="s">
        <v>46</v>
      </c>
      <c r="N198" s="3"/>
    </row>
    <row r="199" spans="1:14" x14ac:dyDescent="0.35">
      <c r="A199" s="13">
        <v>198</v>
      </c>
      <c r="B199" s="13" t="s">
        <v>591</v>
      </c>
      <c r="C199" s="13" t="s">
        <v>76</v>
      </c>
      <c r="D199" s="13" t="s">
        <v>646</v>
      </c>
      <c r="E199" s="3" t="s">
        <v>647</v>
      </c>
      <c r="F199" s="13" t="s">
        <v>429</v>
      </c>
      <c r="G199" s="13" t="s">
        <v>80</v>
      </c>
      <c r="H199" s="13">
        <v>1</v>
      </c>
      <c r="I199" s="13">
        <v>0</v>
      </c>
      <c r="J199" s="13" t="s">
        <v>648</v>
      </c>
      <c r="K199" s="13" t="s">
        <v>119</v>
      </c>
      <c r="L199" s="15" t="s">
        <v>24</v>
      </c>
      <c r="M199" s="15" t="s">
        <v>46</v>
      </c>
      <c r="N199" s="3"/>
    </row>
    <row r="200" spans="1:14" x14ac:dyDescent="0.35">
      <c r="A200" s="13">
        <v>199</v>
      </c>
      <c r="B200" s="13" t="s">
        <v>591</v>
      </c>
      <c r="C200" s="13" t="s">
        <v>76</v>
      </c>
      <c r="D200" s="13" t="s">
        <v>649</v>
      </c>
      <c r="E200" s="3" t="s">
        <v>650</v>
      </c>
      <c r="F200" s="13" t="s">
        <v>429</v>
      </c>
      <c r="G200" s="13" t="s">
        <v>80</v>
      </c>
      <c r="H200" s="13">
        <v>0</v>
      </c>
      <c r="I200" s="13">
        <v>0</v>
      </c>
      <c r="J200" s="13" t="s">
        <v>651</v>
      </c>
      <c r="K200" s="13" t="s">
        <v>119</v>
      </c>
      <c r="L200" s="15" t="s">
        <v>24</v>
      </c>
      <c r="M200" s="15" t="s">
        <v>46</v>
      </c>
      <c r="N200" s="3"/>
    </row>
    <row r="201" spans="1:14" x14ac:dyDescent="0.35">
      <c r="A201" s="13">
        <v>200</v>
      </c>
      <c r="B201" s="13" t="s">
        <v>591</v>
      </c>
      <c r="C201" s="13" t="s">
        <v>76</v>
      </c>
      <c r="D201" s="13" t="s">
        <v>652</v>
      </c>
      <c r="E201" s="3" t="s">
        <v>653</v>
      </c>
      <c r="F201" s="13" t="s">
        <v>429</v>
      </c>
      <c r="G201" s="13" t="s">
        <v>80</v>
      </c>
      <c r="H201" s="13">
        <v>0</v>
      </c>
      <c r="I201" s="13">
        <v>0</v>
      </c>
      <c r="J201" s="13" t="s">
        <v>654</v>
      </c>
      <c r="K201" s="13" t="s">
        <v>119</v>
      </c>
      <c r="L201" s="15" t="s">
        <v>16</v>
      </c>
      <c r="M201" s="15" t="s">
        <v>49</v>
      </c>
      <c r="N201" s="3"/>
    </row>
    <row r="202" spans="1:14" x14ac:dyDescent="0.35">
      <c r="A202" s="13">
        <v>201</v>
      </c>
      <c r="B202" s="13" t="s">
        <v>591</v>
      </c>
      <c r="C202" s="13" t="s">
        <v>76</v>
      </c>
      <c r="D202" s="13" t="s">
        <v>655</v>
      </c>
      <c r="E202" s="3" t="s">
        <v>656</v>
      </c>
      <c r="F202" s="13" t="s">
        <v>429</v>
      </c>
      <c r="G202" s="13" t="s">
        <v>80</v>
      </c>
      <c r="H202" s="13">
        <v>1</v>
      </c>
      <c r="I202" s="13">
        <v>0</v>
      </c>
      <c r="J202" s="13" t="s">
        <v>657</v>
      </c>
      <c r="K202" s="13" t="s">
        <v>119</v>
      </c>
      <c r="L202" s="15" t="s">
        <v>16</v>
      </c>
      <c r="M202" s="15" t="s">
        <v>49</v>
      </c>
      <c r="N202" s="3"/>
    </row>
    <row r="203" spans="1:14" ht="37.5" x14ac:dyDescent="0.35">
      <c r="A203" s="13">
        <v>202</v>
      </c>
      <c r="B203" s="13" t="s">
        <v>591</v>
      </c>
      <c r="C203" s="13" t="s">
        <v>76</v>
      </c>
      <c r="D203" s="13" t="s">
        <v>658</v>
      </c>
      <c r="E203" s="3" t="s">
        <v>659</v>
      </c>
      <c r="F203" s="13" t="s">
        <v>429</v>
      </c>
      <c r="G203" s="13" t="s">
        <v>80</v>
      </c>
      <c r="H203" s="13">
        <v>2</v>
      </c>
      <c r="I203" s="13">
        <v>1</v>
      </c>
      <c r="J203" s="13" t="s">
        <v>660</v>
      </c>
      <c r="K203" s="13" t="s">
        <v>119</v>
      </c>
      <c r="L203" s="15" t="s">
        <v>8</v>
      </c>
      <c r="M203" s="15" t="s">
        <v>43</v>
      </c>
      <c r="N203" s="3"/>
    </row>
    <row r="204" spans="1:14" ht="25" x14ac:dyDescent="0.35">
      <c r="A204" s="13">
        <v>203</v>
      </c>
      <c r="B204" s="13" t="s">
        <v>591</v>
      </c>
      <c r="C204" s="13" t="s">
        <v>76</v>
      </c>
      <c r="D204" s="13" t="s">
        <v>661</v>
      </c>
      <c r="E204" s="3" t="s">
        <v>662</v>
      </c>
      <c r="F204" s="13" t="s">
        <v>429</v>
      </c>
      <c r="G204" s="13" t="s">
        <v>80</v>
      </c>
      <c r="H204" s="13">
        <v>1</v>
      </c>
      <c r="I204" s="13">
        <v>0</v>
      </c>
      <c r="J204" s="13" t="s">
        <v>663</v>
      </c>
      <c r="K204" s="13" t="s">
        <v>119</v>
      </c>
      <c r="L204" s="15" t="s">
        <v>16</v>
      </c>
      <c r="M204" s="15" t="s">
        <v>49</v>
      </c>
      <c r="N204" s="3"/>
    </row>
    <row r="205" spans="1:14" x14ac:dyDescent="0.35">
      <c r="A205" s="13">
        <v>204</v>
      </c>
      <c r="B205" s="13" t="s">
        <v>591</v>
      </c>
      <c r="C205" s="13" t="s">
        <v>76</v>
      </c>
      <c r="D205" s="13" t="s">
        <v>664</v>
      </c>
      <c r="E205" s="3" t="s">
        <v>665</v>
      </c>
      <c r="F205" s="13" t="s">
        <v>429</v>
      </c>
      <c r="G205" s="13" t="s">
        <v>84</v>
      </c>
      <c r="H205" s="13">
        <v>0</v>
      </c>
      <c r="I205" s="13">
        <v>0</v>
      </c>
      <c r="J205" s="13" t="s">
        <v>666</v>
      </c>
      <c r="K205" s="13" t="s">
        <v>119</v>
      </c>
      <c r="L205" s="15" t="s">
        <v>32</v>
      </c>
      <c r="M205" s="15" t="s">
        <v>49</v>
      </c>
      <c r="N205" s="3"/>
    </row>
    <row r="206" spans="1:14" ht="50" x14ac:dyDescent="0.35">
      <c r="A206" s="13">
        <v>205</v>
      </c>
      <c r="B206" s="13" t="s">
        <v>591</v>
      </c>
      <c r="C206" s="13" t="s">
        <v>76</v>
      </c>
      <c r="D206" s="13" t="s">
        <v>664</v>
      </c>
      <c r="E206" s="3" t="s">
        <v>667</v>
      </c>
      <c r="F206" s="13" t="s">
        <v>429</v>
      </c>
      <c r="G206" s="13" t="s">
        <v>80</v>
      </c>
      <c r="H206" s="13">
        <v>0</v>
      </c>
      <c r="I206" s="13">
        <v>0</v>
      </c>
      <c r="J206" s="13" t="s">
        <v>668</v>
      </c>
      <c r="K206" s="13" t="s">
        <v>119</v>
      </c>
      <c r="L206" s="15" t="s">
        <v>24</v>
      </c>
      <c r="M206" s="15" t="s">
        <v>46</v>
      </c>
      <c r="N206" s="3"/>
    </row>
    <row r="207" spans="1:14" x14ac:dyDescent="0.35">
      <c r="A207" s="13">
        <v>206</v>
      </c>
      <c r="B207" s="13" t="s">
        <v>591</v>
      </c>
      <c r="C207" s="13" t="s">
        <v>76</v>
      </c>
      <c r="D207" s="13" t="s">
        <v>669</v>
      </c>
      <c r="E207" s="3" t="s">
        <v>670</v>
      </c>
      <c r="F207" s="13" t="s">
        <v>429</v>
      </c>
      <c r="G207" s="13" t="s">
        <v>80</v>
      </c>
      <c r="H207" s="13">
        <v>0</v>
      </c>
      <c r="I207" s="13">
        <v>0</v>
      </c>
      <c r="J207" s="13" t="s">
        <v>671</v>
      </c>
      <c r="K207" s="13" t="s">
        <v>119</v>
      </c>
      <c r="L207" s="15" t="s">
        <v>36</v>
      </c>
      <c r="M207" s="15" t="s">
        <v>46</v>
      </c>
      <c r="N207" s="3"/>
    </row>
    <row r="208" spans="1:14" x14ac:dyDescent="0.35">
      <c r="A208" s="13">
        <v>207</v>
      </c>
      <c r="B208" s="13" t="s">
        <v>591</v>
      </c>
      <c r="C208" s="13" t="s">
        <v>76</v>
      </c>
      <c r="D208" s="13" t="s">
        <v>672</v>
      </c>
      <c r="E208" s="3" t="s">
        <v>673</v>
      </c>
      <c r="F208" s="13" t="s">
        <v>429</v>
      </c>
      <c r="G208" s="13" t="s">
        <v>80</v>
      </c>
      <c r="H208" s="13">
        <v>0</v>
      </c>
      <c r="I208" s="13">
        <v>0</v>
      </c>
      <c r="J208" s="13" t="s">
        <v>674</v>
      </c>
      <c r="K208" s="13" t="s">
        <v>119</v>
      </c>
      <c r="L208" s="15" t="s">
        <v>16</v>
      </c>
      <c r="M208" s="15" t="s">
        <v>49</v>
      </c>
      <c r="N208" s="3"/>
    </row>
    <row r="209" spans="1:14" x14ac:dyDescent="0.35">
      <c r="A209" s="13">
        <v>208</v>
      </c>
      <c r="B209" s="13" t="s">
        <v>591</v>
      </c>
      <c r="C209" s="13" t="s">
        <v>76</v>
      </c>
      <c r="D209" s="13" t="s">
        <v>675</v>
      </c>
      <c r="E209" s="3" t="s">
        <v>676</v>
      </c>
      <c r="F209" s="13" t="s">
        <v>429</v>
      </c>
      <c r="G209" s="13" t="s">
        <v>80</v>
      </c>
      <c r="H209" s="13">
        <v>0</v>
      </c>
      <c r="I209" s="13">
        <v>0</v>
      </c>
      <c r="J209" s="13" t="s">
        <v>677</v>
      </c>
      <c r="K209" s="13" t="s">
        <v>119</v>
      </c>
      <c r="L209" s="15" t="s">
        <v>32</v>
      </c>
      <c r="M209" s="15" t="s">
        <v>49</v>
      </c>
      <c r="N209" s="3"/>
    </row>
    <row r="210" spans="1:14" ht="25" x14ac:dyDescent="0.35">
      <c r="A210" s="13">
        <v>209</v>
      </c>
      <c r="B210" s="13" t="s">
        <v>591</v>
      </c>
      <c r="C210" s="13" t="s">
        <v>76</v>
      </c>
      <c r="D210" s="13" t="s">
        <v>675</v>
      </c>
      <c r="E210" s="3" t="s">
        <v>678</v>
      </c>
      <c r="F210" s="13" t="s">
        <v>429</v>
      </c>
      <c r="G210" s="13" t="s">
        <v>80</v>
      </c>
      <c r="H210" s="13">
        <v>0</v>
      </c>
      <c r="I210" s="13">
        <v>0</v>
      </c>
      <c r="J210" s="13" t="s">
        <v>679</v>
      </c>
      <c r="K210" s="13" t="s">
        <v>119</v>
      </c>
      <c r="L210" s="15" t="s">
        <v>24</v>
      </c>
      <c r="M210" s="15" t="s">
        <v>46</v>
      </c>
      <c r="N210" s="3"/>
    </row>
    <row r="211" spans="1:14" x14ac:dyDescent="0.35">
      <c r="A211" s="13">
        <v>210</v>
      </c>
      <c r="B211" s="13" t="s">
        <v>591</v>
      </c>
      <c r="C211" s="13" t="s">
        <v>76</v>
      </c>
      <c r="D211" s="13" t="s">
        <v>680</v>
      </c>
      <c r="E211" s="3" t="s">
        <v>681</v>
      </c>
      <c r="F211" s="13" t="s">
        <v>429</v>
      </c>
      <c r="G211" s="13" t="s">
        <v>80</v>
      </c>
      <c r="H211" s="13">
        <v>0</v>
      </c>
      <c r="I211" s="13">
        <v>0</v>
      </c>
      <c r="J211" s="13" t="s">
        <v>682</v>
      </c>
      <c r="K211" s="13" t="s">
        <v>119</v>
      </c>
      <c r="L211" s="15" t="s">
        <v>36</v>
      </c>
      <c r="M211" s="15" t="s">
        <v>46</v>
      </c>
      <c r="N211" s="3"/>
    </row>
    <row r="212" spans="1:14" x14ac:dyDescent="0.35">
      <c r="A212" s="13">
        <v>211</v>
      </c>
      <c r="B212" s="13" t="s">
        <v>591</v>
      </c>
      <c r="C212" s="13" t="s">
        <v>76</v>
      </c>
      <c r="D212" s="13" t="s">
        <v>683</v>
      </c>
      <c r="E212" s="3" t="s">
        <v>684</v>
      </c>
      <c r="F212" s="13" t="s">
        <v>429</v>
      </c>
      <c r="G212" s="13" t="s">
        <v>80</v>
      </c>
      <c r="H212" s="13">
        <v>0</v>
      </c>
      <c r="I212" s="13">
        <v>3</v>
      </c>
      <c r="J212" s="13" t="s">
        <v>685</v>
      </c>
      <c r="K212" s="13" t="s">
        <v>119</v>
      </c>
      <c r="L212" s="15" t="s">
        <v>16</v>
      </c>
      <c r="M212" s="15" t="s">
        <v>49</v>
      </c>
      <c r="N212" s="3"/>
    </row>
    <row r="213" spans="1:14" x14ac:dyDescent="0.35">
      <c r="A213" s="13">
        <v>212</v>
      </c>
      <c r="B213" s="13" t="s">
        <v>591</v>
      </c>
      <c r="C213" s="13" t="s">
        <v>76</v>
      </c>
      <c r="D213" s="13" t="s">
        <v>686</v>
      </c>
      <c r="E213" s="3" t="s">
        <v>687</v>
      </c>
      <c r="F213" s="13" t="s">
        <v>429</v>
      </c>
      <c r="G213" s="13" t="s">
        <v>80</v>
      </c>
      <c r="H213" s="13">
        <v>0</v>
      </c>
      <c r="I213" s="13">
        <v>0</v>
      </c>
      <c r="J213" s="13" t="s">
        <v>688</v>
      </c>
      <c r="K213" s="13" t="s">
        <v>119</v>
      </c>
      <c r="L213" s="15" t="s">
        <v>36</v>
      </c>
      <c r="M213" s="15" t="s">
        <v>49</v>
      </c>
      <c r="N213" s="3"/>
    </row>
    <row r="214" spans="1:14" ht="25" x14ac:dyDescent="0.35">
      <c r="A214" s="13">
        <v>213</v>
      </c>
      <c r="B214" s="13" t="s">
        <v>591</v>
      </c>
      <c r="C214" s="13" t="s">
        <v>76</v>
      </c>
      <c r="D214" s="13" t="s">
        <v>689</v>
      </c>
      <c r="E214" s="3" t="s">
        <v>690</v>
      </c>
      <c r="F214" s="13" t="s">
        <v>117</v>
      </c>
      <c r="G214" s="13" t="s">
        <v>80</v>
      </c>
      <c r="H214" s="13">
        <v>1</v>
      </c>
      <c r="I214" s="13">
        <v>0</v>
      </c>
      <c r="J214" s="13" t="s">
        <v>691</v>
      </c>
      <c r="K214" s="13" t="s">
        <v>119</v>
      </c>
      <c r="L214" s="15" t="s">
        <v>28</v>
      </c>
      <c r="M214" s="15" t="s">
        <v>49</v>
      </c>
      <c r="N214" s="3"/>
    </row>
    <row r="215" spans="1:14" ht="25" x14ac:dyDescent="0.35">
      <c r="A215" s="13">
        <v>214</v>
      </c>
      <c r="B215" s="13" t="s">
        <v>591</v>
      </c>
      <c r="C215" s="13" t="s">
        <v>76</v>
      </c>
      <c r="D215" s="13" t="s">
        <v>692</v>
      </c>
      <c r="E215" s="3" t="s">
        <v>693</v>
      </c>
      <c r="F215" s="13" t="s">
        <v>429</v>
      </c>
      <c r="G215" s="13" t="s">
        <v>80</v>
      </c>
      <c r="H215" s="13">
        <v>3</v>
      </c>
      <c r="I215" s="13">
        <v>0</v>
      </c>
      <c r="J215" s="13" t="s">
        <v>694</v>
      </c>
      <c r="K215" s="13" t="s">
        <v>119</v>
      </c>
      <c r="L215" s="15" t="s">
        <v>24</v>
      </c>
      <c r="M215" s="15" t="s">
        <v>46</v>
      </c>
      <c r="N215" s="3"/>
    </row>
    <row r="216" spans="1:14" x14ac:dyDescent="0.35">
      <c r="A216" s="13">
        <v>215</v>
      </c>
      <c r="B216" s="13" t="s">
        <v>591</v>
      </c>
      <c r="C216" s="13" t="s">
        <v>76</v>
      </c>
      <c r="D216" s="13" t="s">
        <v>695</v>
      </c>
      <c r="E216" s="3" t="s">
        <v>696</v>
      </c>
      <c r="F216" s="13" t="s">
        <v>429</v>
      </c>
      <c r="G216" s="13" t="s">
        <v>80</v>
      </c>
      <c r="H216" s="13">
        <v>0</v>
      </c>
      <c r="I216" s="13">
        <v>0</v>
      </c>
      <c r="J216" s="13" t="s">
        <v>697</v>
      </c>
      <c r="K216" s="13" t="s">
        <v>119</v>
      </c>
      <c r="L216" s="15" t="s">
        <v>16</v>
      </c>
      <c r="M216" s="15" t="s">
        <v>49</v>
      </c>
      <c r="N216" s="3"/>
    </row>
    <row r="217" spans="1:14" x14ac:dyDescent="0.35">
      <c r="A217" s="13">
        <v>216</v>
      </c>
      <c r="B217" s="13" t="s">
        <v>591</v>
      </c>
      <c r="C217" s="13" t="s">
        <v>76</v>
      </c>
      <c r="D217" s="13" t="s">
        <v>698</v>
      </c>
      <c r="E217" s="3" t="s">
        <v>699</v>
      </c>
      <c r="F217" s="13" t="s">
        <v>429</v>
      </c>
      <c r="G217" s="13" t="s">
        <v>80</v>
      </c>
      <c r="H217" s="13">
        <v>0</v>
      </c>
      <c r="I217" s="13">
        <v>0</v>
      </c>
      <c r="J217" s="13" t="s">
        <v>700</v>
      </c>
      <c r="K217" s="13" t="s">
        <v>119</v>
      </c>
      <c r="L217" s="15" t="s">
        <v>32</v>
      </c>
      <c r="M217" s="15" t="s">
        <v>49</v>
      </c>
      <c r="N217" s="3"/>
    </row>
    <row r="218" spans="1:14" x14ac:dyDescent="0.35">
      <c r="A218" s="13">
        <v>217</v>
      </c>
      <c r="B218" s="13" t="s">
        <v>591</v>
      </c>
      <c r="C218" s="13" t="s">
        <v>76</v>
      </c>
      <c r="D218" s="13" t="s">
        <v>701</v>
      </c>
      <c r="E218" s="3" t="s">
        <v>702</v>
      </c>
      <c r="F218" s="13" t="s">
        <v>117</v>
      </c>
      <c r="G218" s="13" t="s">
        <v>80</v>
      </c>
      <c r="H218" s="13">
        <v>0</v>
      </c>
      <c r="I218" s="13">
        <v>0</v>
      </c>
      <c r="J218" s="13" t="s">
        <v>703</v>
      </c>
      <c r="K218" s="13" t="s">
        <v>119</v>
      </c>
      <c r="L218" s="15" t="s">
        <v>8</v>
      </c>
      <c r="M218" s="15" t="s">
        <v>43</v>
      </c>
      <c r="N218" s="3"/>
    </row>
    <row r="219" spans="1:14" x14ac:dyDescent="0.35">
      <c r="A219" s="13">
        <v>218</v>
      </c>
      <c r="B219" s="13" t="s">
        <v>591</v>
      </c>
      <c r="C219" s="13" t="s">
        <v>76</v>
      </c>
      <c r="D219" s="13" t="s">
        <v>704</v>
      </c>
      <c r="E219" s="3" t="s">
        <v>705</v>
      </c>
      <c r="F219" s="13" t="s">
        <v>117</v>
      </c>
      <c r="G219" s="13" t="s">
        <v>84</v>
      </c>
      <c r="H219" s="13">
        <v>2</v>
      </c>
      <c r="I219" s="13">
        <v>0</v>
      </c>
      <c r="J219" s="13" t="s">
        <v>706</v>
      </c>
      <c r="K219" s="13" t="s">
        <v>119</v>
      </c>
      <c r="L219" s="15" t="s">
        <v>32</v>
      </c>
      <c r="M219" s="15" t="s">
        <v>49</v>
      </c>
      <c r="N219" s="3"/>
    </row>
    <row r="220" spans="1:14" x14ac:dyDescent="0.35">
      <c r="A220" s="13">
        <v>219</v>
      </c>
      <c r="B220" s="13" t="s">
        <v>591</v>
      </c>
      <c r="C220" s="13" t="s">
        <v>76</v>
      </c>
      <c r="D220" s="13" t="s">
        <v>707</v>
      </c>
      <c r="E220" s="3" t="s">
        <v>708</v>
      </c>
      <c r="F220" s="13" t="s">
        <v>429</v>
      </c>
      <c r="G220" s="13" t="s">
        <v>80</v>
      </c>
      <c r="H220" s="13">
        <v>0</v>
      </c>
      <c r="I220" s="13">
        <v>0</v>
      </c>
      <c r="J220" s="13" t="s">
        <v>709</v>
      </c>
      <c r="K220" s="13" t="s">
        <v>119</v>
      </c>
      <c r="L220" s="15" t="s">
        <v>16</v>
      </c>
      <c r="M220" s="15" t="s">
        <v>49</v>
      </c>
      <c r="N220" s="3"/>
    </row>
    <row r="221" spans="1:14" ht="37.5" x14ac:dyDescent="0.35">
      <c r="A221" s="13">
        <v>220</v>
      </c>
      <c r="B221" s="13" t="s">
        <v>591</v>
      </c>
      <c r="C221" s="13" t="s">
        <v>76</v>
      </c>
      <c r="D221" s="13" t="s">
        <v>710</v>
      </c>
      <c r="E221" s="3" t="s">
        <v>711</v>
      </c>
      <c r="F221" s="13" t="s">
        <v>429</v>
      </c>
      <c r="G221" s="13" t="s">
        <v>80</v>
      </c>
      <c r="H221" s="13">
        <v>0</v>
      </c>
      <c r="I221" s="13">
        <v>0</v>
      </c>
      <c r="J221" s="13" t="s">
        <v>712</v>
      </c>
      <c r="K221" s="13" t="s">
        <v>119</v>
      </c>
      <c r="L221" s="15" t="s">
        <v>28</v>
      </c>
      <c r="M221" s="15" t="s">
        <v>49</v>
      </c>
      <c r="N221" s="3"/>
    </row>
    <row r="222" spans="1:14" x14ac:dyDescent="0.35">
      <c r="A222" s="13">
        <v>221</v>
      </c>
      <c r="B222" s="13" t="s">
        <v>591</v>
      </c>
      <c r="C222" s="13" t="s">
        <v>76</v>
      </c>
      <c r="D222" s="13" t="s">
        <v>713</v>
      </c>
      <c r="E222" s="3" t="s">
        <v>195</v>
      </c>
      <c r="F222" s="13" t="s">
        <v>429</v>
      </c>
      <c r="G222" s="13" t="s">
        <v>80</v>
      </c>
      <c r="H222" s="13">
        <v>0</v>
      </c>
      <c r="I222" s="13">
        <v>0</v>
      </c>
      <c r="J222" s="13" t="s">
        <v>714</v>
      </c>
      <c r="K222" s="13" t="s">
        <v>119</v>
      </c>
      <c r="L222" s="15" t="s">
        <v>12</v>
      </c>
      <c r="M222" s="15" t="s">
        <v>43</v>
      </c>
      <c r="N222" s="3"/>
    </row>
    <row r="223" spans="1:14" x14ac:dyDescent="0.35">
      <c r="A223" s="13">
        <v>222</v>
      </c>
      <c r="B223" s="13" t="s">
        <v>591</v>
      </c>
      <c r="C223" s="13" t="s">
        <v>76</v>
      </c>
      <c r="D223" s="13" t="s">
        <v>715</v>
      </c>
      <c r="E223" s="3" t="s">
        <v>716</v>
      </c>
      <c r="F223" s="13" t="s">
        <v>429</v>
      </c>
      <c r="G223" s="13" t="s">
        <v>80</v>
      </c>
      <c r="H223" s="13">
        <v>0</v>
      </c>
      <c r="I223" s="13">
        <v>1</v>
      </c>
      <c r="J223" s="13" t="s">
        <v>717</v>
      </c>
      <c r="K223" s="13" t="s">
        <v>119</v>
      </c>
      <c r="L223" s="15" t="s">
        <v>28</v>
      </c>
      <c r="M223" s="15" t="s">
        <v>49</v>
      </c>
      <c r="N223" s="3"/>
    </row>
    <row r="224" spans="1:14" x14ac:dyDescent="0.35">
      <c r="A224" s="13">
        <v>223</v>
      </c>
      <c r="B224" s="13" t="s">
        <v>591</v>
      </c>
      <c r="C224" s="13" t="s">
        <v>76</v>
      </c>
      <c r="D224" s="13" t="s">
        <v>245</v>
      </c>
      <c r="E224" s="3" t="s">
        <v>718</v>
      </c>
      <c r="F224" s="13" t="s">
        <v>117</v>
      </c>
      <c r="G224" s="13" t="s">
        <v>84</v>
      </c>
      <c r="H224" s="13">
        <v>0</v>
      </c>
      <c r="I224" s="13">
        <v>1</v>
      </c>
      <c r="J224" s="13" t="s">
        <v>719</v>
      </c>
      <c r="K224" s="13" t="s">
        <v>119</v>
      </c>
      <c r="L224" s="15" t="s">
        <v>20</v>
      </c>
      <c r="M224" s="15" t="s">
        <v>49</v>
      </c>
      <c r="N224" s="3"/>
    </row>
    <row r="225" spans="1:14" x14ac:dyDescent="0.35">
      <c r="A225" s="13">
        <v>224</v>
      </c>
      <c r="B225" s="13" t="s">
        <v>591</v>
      </c>
      <c r="C225" s="13" t="s">
        <v>76</v>
      </c>
      <c r="D225" s="13" t="s">
        <v>245</v>
      </c>
      <c r="E225" s="3" t="s">
        <v>720</v>
      </c>
      <c r="F225" s="13" t="s">
        <v>117</v>
      </c>
      <c r="G225" s="13" t="s">
        <v>84</v>
      </c>
      <c r="H225" s="13">
        <v>0</v>
      </c>
      <c r="I225" s="13">
        <v>1</v>
      </c>
      <c r="J225" s="13" t="s">
        <v>721</v>
      </c>
      <c r="K225" s="13" t="s">
        <v>119</v>
      </c>
      <c r="L225" s="15" t="s">
        <v>32</v>
      </c>
      <c r="M225" s="15" t="s">
        <v>49</v>
      </c>
      <c r="N225" s="3"/>
    </row>
    <row r="226" spans="1:14" x14ac:dyDescent="0.35">
      <c r="A226" s="13">
        <v>225</v>
      </c>
      <c r="B226" s="13" t="s">
        <v>591</v>
      </c>
      <c r="C226" s="13" t="s">
        <v>76</v>
      </c>
      <c r="D226" s="13" t="s">
        <v>245</v>
      </c>
      <c r="E226" s="3" t="s">
        <v>722</v>
      </c>
      <c r="F226" s="13" t="s">
        <v>117</v>
      </c>
      <c r="G226" s="13" t="s">
        <v>84</v>
      </c>
      <c r="H226" s="13">
        <v>0</v>
      </c>
      <c r="I226" s="13">
        <v>1</v>
      </c>
      <c r="J226" s="13" t="s">
        <v>723</v>
      </c>
      <c r="K226" s="13" t="s">
        <v>119</v>
      </c>
      <c r="L226" s="15" t="s">
        <v>20</v>
      </c>
      <c r="M226" s="15" t="s">
        <v>49</v>
      </c>
      <c r="N226" s="3"/>
    </row>
    <row r="227" spans="1:14" x14ac:dyDescent="0.35">
      <c r="A227" s="13">
        <v>226</v>
      </c>
      <c r="B227" s="13" t="s">
        <v>591</v>
      </c>
      <c r="C227" s="13" t="s">
        <v>76</v>
      </c>
      <c r="D227" s="13" t="s">
        <v>182</v>
      </c>
      <c r="E227" s="3" t="s">
        <v>724</v>
      </c>
      <c r="F227" s="13" t="s">
        <v>117</v>
      </c>
      <c r="G227" s="13" t="s">
        <v>84</v>
      </c>
      <c r="H227" s="13">
        <v>0</v>
      </c>
      <c r="I227" s="13">
        <v>0</v>
      </c>
      <c r="J227" s="13" t="s">
        <v>725</v>
      </c>
      <c r="K227" s="13" t="s">
        <v>119</v>
      </c>
      <c r="L227" s="15" t="s">
        <v>32</v>
      </c>
      <c r="M227" s="15" t="s">
        <v>49</v>
      </c>
      <c r="N227" s="3"/>
    </row>
    <row r="228" spans="1:14" x14ac:dyDescent="0.35">
      <c r="A228" s="13">
        <v>227</v>
      </c>
      <c r="B228" s="13" t="s">
        <v>591</v>
      </c>
      <c r="C228" s="13" t="s">
        <v>76</v>
      </c>
      <c r="D228" s="13" t="s">
        <v>726</v>
      </c>
      <c r="E228" s="3" t="s">
        <v>727</v>
      </c>
      <c r="F228" s="13" t="s">
        <v>117</v>
      </c>
      <c r="G228" s="13" t="s">
        <v>80</v>
      </c>
      <c r="H228" s="13">
        <v>0</v>
      </c>
      <c r="I228" s="13">
        <v>0</v>
      </c>
      <c r="J228" s="13" t="s">
        <v>728</v>
      </c>
      <c r="K228" s="13" t="s">
        <v>119</v>
      </c>
      <c r="L228" s="15" t="s">
        <v>20</v>
      </c>
      <c r="M228" s="15" t="s">
        <v>49</v>
      </c>
      <c r="N228" s="3"/>
    </row>
    <row r="229" spans="1:14" ht="25" x14ac:dyDescent="0.35">
      <c r="A229" s="13">
        <v>228</v>
      </c>
      <c r="B229" s="13" t="s">
        <v>591</v>
      </c>
      <c r="C229" s="13" t="s">
        <v>76</v>
      </c>
      <c r="D229" s="13" t="s">
        <v>540</v>
      </c>
      <c r="E229" s="3" t="s">
        <v>729</v>
      </c>
      <c r="F229" s="13" t="s">
        <v>117</v>
      </c>
      <c r="G229" s="13" t="s">
        <v>84</v>
      </c>
      <c r="H229" s="13">
        <v>0</v>
      </c>
      <c r="I229" s="13">
        <v>1</v>
      </c>
      <c r="J229" s="13" t="s">
        <v>730</v>
      </c>
      <c r="K229" s="13" t="s">
        <v>119</v>
      </c>
      <c r="L229" s="15" t="s">
        <v>24</v>
      </c>
      <c r="M229" s="15" t="s">
        <v>46</v>
      </c>
      <c r="N229" s="3"/>
    </row>
    <row r="230" spans="1:14" x14ac:dyDescent="0.35">
      <c r="A230" s="13">
        <v>229</v>
      </c>
      <c r="B230" s="13" t="s">
        <v>591</v>
      </c>
      <c r="C230" s="13" t="s">
        <v>76</v>
      </c>
      <c r="D230" s="13" t="s">
        <v>731</v>
      </c>
      <c r="E230" s="3" t="s">
        <v>732</v>
      </c>
      <c r="F230" s="13" t="s">
        <v>117</v>
      </c>
      <c r="G230" s="13" t="s">
        <v>80</v>
      </c>
      <c r="H230" s="13">
        <v>0</v>
      </c>
      <c r="I230" s="13">
        <v>0</v>
      </c>
      <c r="J230" s="13" t="s">
        <v>733</v>
      </c>
      <c r="K230" s="13" t="s">
        <v>119</v>
      </c>
      <c r="L230" s="15" t="s">
        <v>16</v>
      </c>
      <c r="M230" s="15" t="s">
        <v>49</v>
      </c>
      <c r="N230" s="3"/>
    </row>
    <row r="231" spans="1:14" x14ac:dyDescent="0.35">
      <c r="A231" s="13">
        <v>230</v>
      </c>
      <c r="B231" s="13" t="s">
        <v>591</v>
      </c>
      <c r="C231" s="13" t="s">
        <v>76</v>
      </c>
      <c r="D231" s="13" t="s">
        <v>734</v>
      </c>
      <c r="E231" s="3" t="s">
        <v>735</v>
      </c>
      <c r="F231" s="13" t="s">
        <v>429</v>
      </c>
      <c r="G231" s="13" t="s">
        <v>80</v>
      </c>
      <c r="H231" s="13">
        <v>0</v>
      </c>
      <c r="I231" s="13">
        <v>0</v>
      </c>
      <c r="J231" s="13" t="s">
        <v>736</v>
      </c>
      <c r="K231" s="13" t="s">
        <v>119</v>
      </c>
      <c r="L231" s="15" t="s">
        <v>8</v>
      </c>
      <c r="M231" s="15" t="s">
        <v>49</v>
      </c>
      <c r="N231" s="3"/>
    </row>
    <row r="232" spans="1:14" x14ac:dyDescent="0.35">
      <c r="A232" s="13">
        <v>231</v>
      </c>
      <c r="B232" s="13" t="s">
        <v>591</v>
      </c>
      <c r="C232" s="13" t="s">
        <v>76</v>
      </c>
      <c r="D232" s="13" t="s">
        <v>737</v>
      </c>
      <c r="E232" s="3" t="s">
        <v>738</v>
      </c>
      <c r="F232" s="13" t="s">
        <v>429</v>
      </c>
      <c r="G232" s="13" t="s">
        <v>84</v>
      </c>
      <c r="H232" s="13">
        <v>0</v>
      </c>
      <c r="I232" s="13">
        <v>0</v>
      </c>
      <c r="J232" s="13" t="s">
        <v>739</v>
      </c>
      <c r="K232" s="13" t="s">
        <v>119</v>
      </c>
      <c r="L232" s="15" t="s">
        <v>32</v>
      </c>
      <c r="M232" s="15" t="s">
        <v>49</v>
      </c>
      <c r="N232" s="3"/>
    </row>
    <row r="233" spans="1:14" x14ac:dyDescent="0.35">
      <c r="A233" s="13">
        <v>232</v>
      </c>
      <c r="B233" s="13" t="s">
        <v>591</v>
      </c>
      <c r="C233" s="13" t="s">
        <v>76</v>
      </c>
      <c r="D233" s="13" t="s">
        <v>557</v>
      </c>
      <c r="E233" s="3" t="s">
        <v>740</v>
      </c>
      <c r="F233" s="13" t="s">
        <v>429</v>
      </c>
      <c r="G233" s="13" t="s">
        <v>84</v>
      </c>
      <c r="H233" s="13">
        <v>0</v>
      </c>
      <c r="I233" s="13">
        <v>2</v>
      </c>
      <c r="J233" s="13" t="s">
        <v>741</v>
      </c>
      <c r="K233" s="13" t="s">
        <v>119</v>
      </c>
      <c r="L233" s="15" t="s">
        <v>16</v>
      </c>
      <c r="M233" s="15" t="s">
        <v>49</v>
      </c>
      <c r="N233" s="3"/>
    </row>
    <row r="234" spans="1:14" x14ac:dyDescent="0.35">
      <c r="A234" s="13">
        <v>233</v>
      </c>
      <c r="B234" s="13" t="s">
        <v>591</v>
      </c>
      <c r="C234" s="13" t="s">
        <v>76</v>
      </c>
      <c r="D234" s="13" t="s">
        <v>683</v>
      </c>
      <c r="E234" s="3" t="s">
        <v>742</v>
      </c>
      <c r="F234" s="13" t="s">
        <v>429</v>
      </c>
      <c r="G234" s="13" t="s">
        <v>84</v>
      </c>
      <c r="H234" s="13">
        <v>0</v>
      </c>
      <c r="I234" s="13">
        <v>0</v>
      </c>
      <c r="J234" s="13" t="s">
        <v>743</v>
      </c>
      <c r="K234" s="13" t="s">
        <v>119</v>
      </c>
      <c r="L234" s="15" t="s">
        <v>36</v>
      </c>
      <c r="M234" s="15" t="s">
        <v>49</v>
      </c>
      <c r="N234" s="3"/>
    </row>
    <row r="235" spans="1:14" x14ac:dyDescent="0.35">
      <c r="A235" s="13">
        <v>234</v>
      </c>
      <c r="B235" s="13" t="s">
        <v>591</v>
      </c>
      <c r="C235" s="13" t="s">
        <v>76</v>
      </c>
      <c r="D235" s="13" t="s">
        <v>557</v>
      </c>
      <c r="E235" s="3" t="s">
        <v>744</v>
      </c>
      <c r="F235" s="13" t="s">
        <v>429</v>
      </c>
      <c r="G235" s="13" t="s">
        <v>84</v>
      </c>
      <c r="H235" s="13">
        <v>0</v>
      </c>
      <c r="I235" s="13">
        <v>0</v>
      </c>
      <c r="J235" s="13" t="s">
        <v>745</v>
      </c>
      <c r="K235" s="13" t="s">
        <v>119</v>
      </c>
      <c r="L235" s="15" t="s">
        <v>36</v>
      </c>
      <c r="M235" s="15" t="s">
        <v>49</v>
      </c>
      <c r="N235" s="3"/>
    </row>
    <row r="236" spans="1:14" x14ac:dyDescent="0.35">
      <c r="A236" s="13">
        <v>235</v>
      </c>
      <c r="B236" s="13" t="s">
        <v>591</v>
      </c>
      <c r="C236" s="13" t="s">
        <v>76</v>
      </c>
      <c r="D236" s="13" t="s">
        <v>746</v>
      </c>
      <c r="E236" s="3" t="s">
        <v>747</v>
      </c>
      <c r="F236" s="13" t="s">
        <v>117</v>
      </c>
      <c r="G236" s="13" t="s">
        <v>80</v>
      </c>
      <c r="H236" s="13">
        <v>0</v>
      </c>
      <c r="I236" s="13">
        <v>0</v>
      </c>
      <c r="J236" s="13" t="s">
        <v>748</v>
      </c>
      <c r="K236" s="13" t="s">
        <v>119</v>
      </c>
      <c r="L236" s="15" t="s">
        <v>20</v>
      </c>
      <c r="M236" s="15" t="s">
        <v>49</v>
      </c>
      <c r="N236" s="3"/>
    </row>
    <row r="237" spans="1:14" x14ac:dyDescent="0.35">
      <c r="A237" s="13">
        <v>236</v>
      </c>
      <c r="B237" s="13" t="s">
        <v>591</v>
      </c>
      <c r="C237" s="13" t="s">
        <v>76</v>
      </c>
      <c r="D237" s="13" t="s">
        <v>749</v>
      </c>
      <c r="E237" s="3" t="s">
        <v>750</v>
      </c>
      <c r="F237" s="13" t="s">
        <v>429</v>
      </c>
      <c r="G237" s="13" t="s">
        <v>80</v>
      </c>
      <c r="H237" s="13">
        <v>1</v>
      </c>
      <c r="I237" s="13">
        <v>0</v>
      </c>
      <c r="J237" s="13" t="s">
        <v>751</v>
      </c>
      <c r="K237" s="13" t="s">
        <v>119</v>
      </c>
      <c r="L237" s="15" t="s">
        <v>20</v>
      </c>
      <c r="M237" s="15" t="s">
        <v>49</v>
      </c>
      <c r="N237" s="3"/>
    </row>
    <row r="238" spans="1:14" x14ac:dyDescent="0.35">
      <c r="A238" s="13">
        <v>237</v>
      </c>
      <c r="B238" s="13" t="s">
        <v>591</v>
      </c>
      <c r="C238" s="13" t="s">
        <v>76</v>
      </c>
      <c r="D238" s="13" t="s">
        <v>752</v>
      </c>
      <c r="E238" s="3" t="s">
        <v>753</v>
      </c>
      <c r="F238" s="13" t="s">
        <v>429</v>
      </c>
      <c r="G238" s="13" t="s">
        <v>84</v>
      </c>
      <c r="H238" s="13">
        <v>1</v>
      </c>
      <c r="I238" s="13">
        <v>0</v>
      </c>
      <c r="J238" s="13" t="s">
        <v>754</v>
      </c>
      <c r="K238" s="13" t="s">
        <v>119</v>
      </c>
      <c r="L238" s="15" t="s">
        <v>24</v>
      </c>
      <c r="M238" s="15" t="s">
        <v>46</v>
      </c>
      <c r="N238" s="3"/>
    </row>
    <row r="239" spans="1:14" x14ac:dyDescent="0.35">
      <c r="A239" s="13">
        <v>238</v>
      </c>
      <c r="B239" s="13" t="s">
        <v>591</v>
      </c>
      <c r="C239" s="13" t="s">
        <v>76</v>
      </c>
      <c r="D239" s="13" t="s">
        <v>755</v>
      </c>
      <c r="E239" s="3" t="s">
        <v>756</v>
      </c>
      <c r="F239" s="13" t="s">
        <v>429</v>
      </c>
      <c r="G239" s="13" t="s">
        <v>84</v>
      </c>
      <c r="H239" s="13">
        <v>0</v>
      </c>
      <c r="I239" s="13">
        <v>0</v>
      </c>
      <c r="J239" s="13" t="s">
        <v>757</v>
      </c>
      <c r="K239" s="13" t="s">
        <v>119</v>
      </c>
      <c r="L239" s="15" t="s">
        <v>32</v>
      </c>
      <c r="M239" s="15" t="s">
        <v>49</v>
      </c>
      <c r="N239" s="3"/>
    </row>
    <row r="240" spans="1:14" x14ac:dyDescent="0.35">
      <c r="A240" s="13">
        <v>239</v>
      </c>
      <c r="B240" s="13" t="s">
        <v>758</v>
      </c>
      <c r="C240" s="13" t="s">
        <v>76</v>
      </c>
      <c r="D240" s="13" t="s">
        <v>759</v>
      </c>
      <c r="E240" s="3" t="s">
        <v>760</v>
      </c>
      <c r="F240" s="13" t="s">
        <v>429</v>
      </c>
      <c r="G240" s="13" t="s">
        <v>80</v>
      </c>
      <c r="H240" s="13">
        <v>0</v>
      </c>
      <c r="I240" s="13">
        <v>0</v>
      </c>
      <c r="J240" s="13" t="s">
        <v>761</v>
      </c>
      <c r="K240" s="13" t="s">
        <v>119</v>
      </c>
      <c r="L240" s="15" t="s">
        <v>16</v>
      </c>
      <c r="M240" s="15" t="s">
        <v>49</v>
      </c>
      <c r="N240" s="3"/>
    </row>
    <row r="241" spans="1:14" x14ac:dyDescent="0.35">
      <c r="A241" s="13">
        <v>240</v>
      </c>
      <c r="B241" s="13" t="s">
        <v>758</v>
      </c>
      <c r="C241" s="13" t="s">
        <v>76</v>
      </c>
      <c r="D241" s="13" t="s">
        <v>762</v>
      </c>
      <c r="E241" s="3" t="s">
        <v>763</v>
      </c>
      <c r="F241" s="13" t="s">
        <v>429</v>
      </c>
      <c r="G241" s="13" t="s">
        <v>80</v>
      </c>
      <c r="H241" s="13">
        <v>0</v>
      </c>
      <c r="I241" s="13">
        <v>0</v>
      </c>
      <c r="J241" s="13" t="s">
        <v>764</v>
      </c>
      <c r="K241" s="13" t="s">
        <v>119</v>
      </c>
      <c r="L241" s="15" t="s">
        <v>28</v>
      </c>
      <c r="M241" s="15" t="s">
        <v>49</v>
      </c>
      <c r="N241" s="3"/>
    </row>
    <row r="242" spans="1:14" ht="50" x14ac:dyDescent="0.35">
      <c r="A242" s="13">
        <v>241</v>
      </c>
      <c r="B242" s="13" t="s">
        <v>758</v>
      </c>
      <c r="C242" s="13" t="s">
        <v>76</v>
      </c>
      <c r="D242" s="13" t="s">
        <v>462</v>
      </c>
      <c r="E242" s="3" t="s">
        <v>765</v>
      </c>
      <c r="F242" s="13" t="s">
        <v>117</v>
      </c>
      <c r="G242" s="13" t="s">
        <v>84</v>
      </c>
      <c r="H242" s="13">
        <v>0</v>
      </c>
      <c r="I242" s="13">
        <v>0</v>
      </c>
      <c r="J242" s="13" t="s">
        <v>766</v>
      </c>
      <c r="K242" s="13" t="s">
        <v>119</v>
      </c>
      <c r="L242" s="15" t="s">
        <v>20</v>
      </c>
      <c r="M242" s="15" t="s">
        <v>49</v>
      </c>
      <c r="N242" s="3"/>
    </row>
    <row r="243" spans="1:14" ht="25" x14ac:dyDescent="0.35">
      <c r="A243" s="13">
        <v>242</v>
      </c>
      <c r="B243" s="13" t="s">
        <v>758</v>
      </c>
      <c r="C243" s="13" t="s">
        <v>76</v>
      </c>
      <c r="D243" s="13" t="s">
        <v>462</v>
      </c>
      <c r="E243" s="3" t="s">
        <v>767</v>
      </c>
      <c r="F243" s="13" t="s">
        <v>117</v>
      </c>
      <c r="G243" s="13" t="s">
        <v>84</v>
      </c>
      <c r="H243" s="13">
        <v>1</v>
      </c>
      <c r="I243" s="13">
        <v>0</v>
      </c>
      <c r="J243" s="13" t="s">
        <v>768</v>
      </c>
      <c r="K243" s="13" t="s">
        <v>119</v>
      </c>
      <c r="L243" s="15" t="s">
        <v>20</v>
      </c>
      <c r="M243" s="15" t="s">
        <v>49</v>
      </c>
      <c r="N243" s="3"/>
    </row>
    <row r="244" spans="1:14" ht="25" x14ac:dyDescent="0.35">
      <c r="A244" s="13">
        <v>243</v>
      </c>
      <c r="B244" s="13" t="s">
        <v>758</v>
      </c>
      <c r="C244" s="13" t="s">
        <v>76</v>
      </c>
      <c r="D244" s="13" t="s">
        <v>462</v>
      </c>
      <c r="E244" s="3" t="s">
        <v>769</v>
      </c>
      <c r="F244" s="13" t="s">
        <v>117</v>
      </c>
      <c r="G244" s="13" t="s">
        <v>84</v>
      </c>
      <c r="H244" s="13">
        <v>0</v>
      </c>
      <c r="I244" s="13">
        <v>0</v>
      </c>
      <c r="J244" s="13" t="s">
        <v>770</v>
      </c>
      <c r="K244" s="13" t="s">
        <v>119</v>
      </c>
      <c r="L244" s="15" t="s">
        <v>20</v>
      </c>
      <c r="M244" s="15" t="s">
        <v>49</v>
      </c>
      <c r="N244" s="3"/>
    </row>
    <row r="245" spans="1:14" x14ac:dyDescent="0.35">
      <c r="A245" s="13">
        <v>244</v>
      </c>
      <c r="B245" s="13" t="s">
        <v>758</v>
      </c>
      <c r="C245" s="13" t="s">
        <v>76</v>
      </c>
      <c r="D245" s="13" t="s">
        <v>462</v>
      </c>
      <c r="E245" s="3" t="s">
        <v>771</v>
      </c>
      <c r="F245" s="13" t="s">
        <v>117</v>
      </c>
      <c r="G245" s="13" t="s">
        <v>84</v>
      </c>
      <c r="H245" s="13">
        <v>0</v>
      </c>
      <c r="I245" s="13">
        <v>0</v>
      </c>
      <c r="J245" s="13" t="s">
        <v>772</v>
      </c>
      <c r="K245" s="13" t="s">
        <v>119</v>
      </c>
      <c r="L245" s="15" t="s">
        <v>32</v>
      </c>
      <c r="M245" s="15" t="s">
        <v>49</v>
      </c>
      <c r="N245" s="3"/>
    </row>
    <row r="246" spans="1:14" ht="37.5" x14ac:dyDescent="0.35">
      <c r="A246" s="13">
        <v>245</v>
      </c>
      <c r="B246" s="13" t="s">
        <v>758</v>
      </c>
      <c r="C246" s="13" t="s">
        <v>76</v>
      </c>
      <c r="D246" s="13" t="s">
        <v>462</v>
      </c>
      <c r="E246" s="3" t="s">
        <v>773</v>
      </c>
      <c r="F246" s="13" t="s">
        <v>117</v>
      </c>
      <c r="G246" s="13" t="s">
        <v>84</v>
      </c>
      <c r="H246" s="13">
        <v>0</v>
      </c>
      <c r="I246" s="13">
        <v>0</v>
      </c>
      <c r="J246" s="13" t="s">
        <v>774</v>
      </c>
      <c r="K246" s="13" t="s">
        <v>119</v>
      </c>
      <c r="L246" s="15" t="s">
        <v>20</v>
      </c>
      <c r="M246" s="15" t="s">
        <v>49</v>
      </c>
      <c r="N246" s="3"/>
    </row>
    <row r="247" spans="1:14" x14ac:dyDescent="0.35">
      <c r="A247" s="13">
        <v>246</v>
      </c>
      <c r="B247" s="13" t="s">
        <v>758</v>
      </c>
      <c r="C247" s="13" t="s">
        <v>76</v>
      </c>
      <c r="D247" s="13" t="s">
        <v>775</v>
      </c>
      <c r="E247" s="3" t="s">
        <v>776</v>
      </c>
      <c r="F247" s="13" t="s">
        <v>429</v>
      </c>
      <c r="G247" s="13" t="s">
        <v>84</v>
      </c>
      <c r="H247" s="13">
        <v>0</v>
      </c>
      <c r="I247" s="13">
        <v>0</v>
      </c>
      <c r="J247" s="13" t="s">
        <v>777</v>
      </c>
      <c r="K247" s="13" t="s">
        <v>119</v>
      </c>
      <c r="L247" s="15" t="s">
        <v>36</v>
      </c>
      <c r="M247" s="15" t="s">
        <v>49</v>
      </c>
      <c r="N247" s="3"/>
    </row>
    <row r="248" spans="1:14" x14ac:dyDescent="0.35">
      <c r="A248" s="13">
        <v>247</v>
      </c>
      <c r="B248" s="13" t="s">
        <v>758</v>
      </c>
      <c r="C248" s="13" t="s">
        <v>76</v>
      </c>
      <c r="D248" s="13" t="s">
        <v>775</v>
      </c>
      <c r="E248" s="3" t="s">
        <v>778</v>
      </c>
      <c r="F248" s="13" t="s">
        <v>429</v>
      </c>
      <c r="G248" s="13" t="s">
        <v>84</v>
      </c>
      <c r="H248" s="13">
        <v>0</v>
      </c>
      <c r="I248" s="13">
        <v>0</v>
      </c>
      <c r="J248" s="13" t="s">
        <v>779</v>
      </c>
      <c r="K248" s="13" t="s">
        <v>119</v>
      </c>
      <c r="L248" s="15" t="s">
        <v>32</v>
      </c>
      <c r="M248" s="15" t="s">
        <v>49</v>
      </c>
      <c r="N248" s="3"/>
    </row>
    <row r="249" spans="1:14" ht="25" x14ac:dyDescent="0.35">
      <c r="A249" s="13">
        <v>248</v>
      </c>
      <c r="B249" s="13" t="s">
        <v>758</v>
      </c>
      <c r="C249" s="13" t="s">
        <v>76</v>
      </c>
      <c r="D249" s="13" t="s">
        <v>292</v>
      </c>
      <c r="E249" s="3" t="s">
        <v>780</v>
      </c>
      <c r="F249" s="13" t="s">
        <v>117</v>
      </c>
      <c r="G249" s="13" t="s">
        <v>84</v>
      </c>
      <c r="H249" s="13">
        <v>0</v>
      </c>
      <c r="I249" s="13">
        <v>0</v>
      </c>
      <c r="J249" s="13" t="s">
        <v>781</v>
      </c>
      <c r="K249" s="13" t="s">
        <v>119</v>
      </c>
      <c r="L249" s="15" t="s">
        <v>32</v>
      </c>
      <c r="M249" s="15" t="s">
        <v>49</v>
      </c>
      <c r="N249" s="3"/>
    </row>
    <row r="250" spans="1:14" x14ac:dyDescent="0.35">
      <c r="A250" s="13">
        <v>249</v>
      </c>
      <c r="B250" s="13" t="s">
        <v>758</v>
      </c>
      <c r="C250" s="13" t="s">
        <v>76</v>
      </c>
      <c r="D250" s="13" t="s">
        <v>782</v>
      </c>
      <c r="E250" s="3" t="s">
        <v>783</v>
      </c>
      <c r="F250" s="13" t="s">
        <v>429</v>
      </c>
      <c r="G250" s="13" t="s">
        <v>80</v>
      </c>
      <c r="H250" s="13">
        <v>0</v>
      </c>
      <c r="I250" s="13">
        <v>0</v>
      </c>
      <c r="J250" s="13" t="s">
        <v>784</v>
      </c>
      <c r="K250" s="13" t="s">
        <v>119</v>
      </c>
      <c r="L250" s="15" t="s">
        <v>36</v>
      </c>
      <c r="M250" s="15" t="s">
        <v>49</v>
      </c>
      <c r="N250" s="3"/>
    </row>
    <row r="251" spans="1:14" ht="325" x14ac:dyDescent="0.35">
      <c r="A251" s="13">
        <v>250</v>
      </c>
      <c r="B251" s="13" t="s">
        <v>758</v>
      </c>
      <c r="C251" s="13" t="s">
        <v>76</v>
      </c>
      <c r="D251" s="13" t="s">
        <v>326</v>
      </c>
      <c r="E251" s="3" t="s">
        <v>785</v>
      </c>
      <c r="F251" s="13" t="s">
        <v>117</v>
      </c>
      <c r="G251" s="13" t="s">
        <v>84</v>
      </c>
      <c r="H251" s="13">
        <v>0</v>
      </c>
      <c r="I251" s="13">
        <v>0</v>
      </c>
      <c r="J251" s="13" t="s">
        <v>786</v>
      </c>
      <c r="K251" s="13" t="s">
        <v>119</v>
      </c>
      <c r="L251" s="15" t="s">
        <v>24</v>
      </c>
      <c r="M251" s="15" t="s">
        <v>46</v>
      </c>
      <c r="N251" s="3"/>
    </row>
    <row r="252" spans="1:14" x14ac:dyDescent="0.35">
      <c r="A252" s="13">
        <v>251</v>
      </c>
      <c r="B252" s="13" t="s">
        <v>758</v>
      </c>
      <c r="C252" s="13" t="s">
        <v>76</v>
      </c>
      <c r="D252" s="13" t="s">
        <v>787</v>
      </c>
      <c r="E252" s="3" t="s">
        <v>788</v>
      </c>
      <c r="F252" s="13" t="s">
        <v>429</v>
      </c>
      <c r="G252" s="13" t="s">
        <v>80</v>
      </c>
      <c r="H252" s="13">
        <v>0</v>
      </c>
      <c r="I252" s="13">
        <v>0</v>
      </c>
      <c r="J252" s="13" t="s">
        <v>789</v>
      </c>
      <c r="K252" s="13" t="s">
        <v>119</v>
      </c>
      <c r="L252" s="15" t="s">
        <v>24</v>
      </c>
      <c r="M252" s="15" t="s">
        <v>46</v>
      </c>
      <c r="N252" s="3"/>
    </row>
    <row r="253" spans="1:14" x14ac:dyDescent="0.35">
      <c r="A253" s="13">
        <v>252</v>
      </c>
      <c r="B253" s="13" t="s">
        <v>758</v>
      </c>
      <c r="C253" s="13" t="s">
        <v>76</v>
      </c>
      <c r="D253" s="13" t="s">
        <v>790</v>
      </c>
      <c r="E253" s="3" t="s">
        <v>791</v>
      </c>
      <c r="F253" s="13" t="s">
        <v>429</v>
      </c>
      <c r="G253" s="13" t="s">
        <v>80</v>
      </c>
      <c r="H253" s="13">
        <v>0</v>
      </c>
      <c r="I253" s="13">
        <v>0</v>
      </c>
      <c r="J253" s="13" t="s">
        <v>792</v>
      </c>
      <c r="K253" s="13" t="s">
        <v>119</v>
      </c>
      <c r="L253" s="15" t="s">
        <v>16</v>
      </c>
      <c r="M253" s="15" t="s">
        <v>49</v>
      </c>
      <c r="N253" s="3"/>
    </row>
    <row r="254" spans="1:14" ht="25" x14ac:dyDescent="0.35">
      <c r="A254" s="13">
        <v>253</v>
      </c>
      <c r="B254" s="13" t="s">
        <v>758</v>
      </c>
      <c r="C254" s="13" t="s">
        <v>76</v>
      </c>
      <c r="D254" s="13" t="s">
        <v>462</v>
      </c>
      <c r="E254" s="3" t="s">
        <v>793</v>
      </c>
      <c r="F254" s="13" t="s">
        <v>117</v>
      </c>
      <c r="G254" s="13" t="s">
        <v>84</v>
      </c>
      <c r="H254" s="13">
        <v>0</v>
      </c>
      <c r="I254" s="13">
        <v>0</v>
      </c>
      <c r="J254" s="13" t="s">
        <v>794</v>
      </c>
      <c r="K254" s="13" t="s">
        <v>119</v>
      </c>
      <c r="L254" s="15" t="s">
        <v>20</v>
      </c>
      <c r="M254" s="15" t="s">
        <v>49</v>
      </c>
      <c r="N254" s="3"/>
    </row>
    <row r="255" spans="1:14" x14ac:dyDescent="0.35">
      <c r="A255" s="13">
        <v>254</v>
      </c>
      <c r="B255" s="13" t="s">
        <v>758</v>
      </c>
      <c r="C255" s="13" t="s">
        <v>76</v>
      </c>
      <c r="D255" s="13" t="s">
        <v>462</v>
      </c>
      <c r="E255" s="3" t="s">
        <v>795</v>
      </c>
      <c r="F255" s="13" t="s">
        <v>117</v>
      </c>
      <c r="G255" s="13" t="s">
        <v>84</v>
      </c>
      <c r="H255" s="13">
        <v>0</v>
      </c>
      <c r="I255" s="13">
        <v>0</v>
      </c>
      <c r="J255" s="13" t="s">
        <v>796</v>
      </c>
      <c r="K255" s="13" t="s">
        <v>119</v>
      </c>
      <c r="L255" s="15" t="s">
        <v>16</v>
      </c>
      <c r="M255" s="15" t="s">
        <v>49</v>
      </c>
      <c r="N255" s="3"/>
    </row>
    <row r="256" spans="1:14" x14ac:dyDescent="0.35">
      <c r="A256" s="13">
        <v>255</v>
      </c>
      <c r="B256" s="13" t="s">
        <v>758</v>
      </c>
      <c r="C256" s="13" t="s">
        <v>76</v>
      </c>
      <c r="D256" s="13" t="s">
        <v>462</v>
      </c>
      <c r="E256" s="3" t="s">
        <v>797</v>
      </c>
      <c r="F256" s="13" t="s">
        <v>117</v>
      </c>
      <c r="G256" s="13" t="s">
        <v>84</v>
      </c>
      <c r="H256" s="13">
        <v>0</v>
      </c>
      <c r="I256" s="13">
        <v>1</v>
      </c>
      <c r="J256" s="13" t="s">
        <v>798</v>
      </c>
      <c r="K256" s="13" t="s">
        <v>119</v>
      </c>
      <c r="L256" s="15" t="s">
        <v>20</v>
      </c>
      <c r="M256" s="15" t="s">
        <v>49</v>
      </c>
      <c r="N256" s="3"/>
    </row>
    <row r="257" spans="1:14" x14ac:dyDescent="0.35">
      <c r="A257" s="13">
        <v>256</v>
      </c>
      <c r="B257" s="13" t="s">
        <v>758</v>
      </c>
      <c r="C257" s="13" t="s">
        <v>76</v>
      </c>
      <c r="D257" s="13" t="s">
        <v>120</v>
      </c>
      <c r="E257" s="3" t="s">
        <v>799</v>
      </c>
      <c r="F257" s="13" t="s">
        <v>117</v>
      </c>
      <c r="G257" s="13" t="s">
        <v>84</v>
      </c>
      <c r="H257" s="13">
        <v>0</v>
      </c>
      <c r="I257" s="13">
        <v>0</v>
      </c>
      <c r="J257" s="13" t="s">
        <v>800</v>
      </c>
      <c r="K257" s="13" t="s">
        <v>119</v>
      </c>
      <c r="L257" s="15" t="s">
        <v>16</v>
      </c>
      <c r="M257" s="15" t="s">
        <v>49</v>
      </c>
      <c r="N257" s="3"/>
    </row>
    <row r="258" spans="1:14" ht="37.5" x14ac:dyDescent="0.35">
      <c r="A258" s="13">
        <v>257</v>
      </c>
      <c r="B258" s="13" t="s">
        <v>758</v>
      </c>
      <c r="C258" s="13" t="s">
        <v>76</v>
      </c>
      <c r="D258" s="13" t="s">
        <v>801</v>
      </c>
      <c r="E258" s="3" t="s">
        <v>802</v>
      </c>
      <c r="F258" s="13" t="s">
        <v>429</v>
      </c>
      <c r="G258" s="13" t="s">
        <v>80</v>
      </c>
      <c r="H258" s="13">
        <v>0</v>
      </c>
      <c r="I258" s="13">
        <v>0</v>
      </c>
      <c r="J258" s="13" t="s">
        <v>803</v>
      </c>
      <c r="K258" s="13" t="s">
        <v>119</v>
      </c>
      <c r="L258" s="15" t="s">
        <v>24</v>
      </c>
      <c r="M258" s="15" t="s">
        <v>46</v>
      </c>
      <c r="N258" s="3"/>
    </row>
    <row r="259" spans="1:14" x14ac:dyDescent="0.35">
      <c r="A259" s="13">
        <v>258</v>
      </c>
      <c r="B259" s="13" t="s">
        <v>758</v>
      </c>
      <c r="C259" s="13" t="s">
        <v>76</v>
      </c>
      <c r="D259" s="13" t="s">
        <v>804</v>
      </c>
      <c r="E259" s="3" t="s">
        <v>805</v>
      </c>
      <c r="F259" s="13" t="s">
        <v>429</v>
      </c>
      <c r="G259" s="13" t="s">
        <v>80</v>
      </c>
      <c r="H259" s="13">
        <v>0</v>
      </c>
      <c r="I259" s="13">
        <v>0</v>
      </c>
      <c r="J259" s="13" t="s">
        <v>806</v>
      </c>
      <c r="K259" s="13" t="s">
        <v>119</v>
      </c>
      <c r="L259" s="15" t="s">
        <v>12</v>
      </c>
      <c r="M259" s="15" t="s">
        <v>43</v>
      </c>
      <c r="N259" s="3"/>
    </row>
    <row r="260" spans="1:14" x14ac:dyDescent="0.35">
      <c r="A260" s="13">
        <v>259</v>
      </c>
      <c r="B260" s="13" t="s">
        <v>758</v>
      </c>
      <c r="C260" s="13" t="s">
        <v>76</v>
      </c>
      <c r="D260" s="13" t="s">
        <v>807</v>
      </c>
      <c r="E260" s="3" t="s">
        <v>808</v>
      </c>
      <c r="F260" s="13" t="s">
        <v>117</v>
      </c>
      <c r="G260" s="13" t="s">
        <v>80</v>
      </c>
      <c r="H260" s="13">
        <v>0</v>
      </c>
      <c r="I260" s="13">
        <v>0</v>
      </c>
      <c r="J260" s="13" t="s">
        <v>809</v>
      </c>
      <c r="K260" s="13" t="s">
        <v>119</v>
      </c>
      <c r="L260" s="15" t="s">
        <v>8</v>
      </c>
      <c r="M260" s="15" t="s">
        <v>43</v>
      </c>
      <c r="N260" s="3"/>
    </row>
    <row r="261" spans="1:14" x14ac:dyDescent="0.35">
      <c r="A261" s="13">
        <v>260</v>
      </c>
      <c r="B261" s="13" t="s">
        <v>758</v>
      </c>
      <c r="C261" s="13" t="s">
        <v>76</v>
      </c>
      <c r="D261" s="13" t="s">
        <v>810</v>
      </c>
      <c r="E261" s="3" t="s">
        <v>811</v>
      </c>
      <c r="F261" s="13" t="s">
        <v>117</v>
      </c>
      <c r="G261" s="13" t="s">
        <v>80</v>
      </c>
      <c r="H261" s="13">
        <v>0</v>
      </c>
      <c r="I261" s="13">
        <v>0</v>
      </c>
      <c r="J261" s="13" t="s">
        <v>812</v>
      </c>
      <c r="K261" s="13" t="s">
        <v>119</v>
      </c>
      <c r="L261" s="15" t="s">
        <v>24</v>
      </c>
      <c r="M261" s="15" t="s">
        <v>46</v>
      </c>
      <c r="N261" s="3"/>
    </row>
    <row r="262" spans="1:14" x14ac:dyDescent="0.35">
      <c r="A262" s="13">
        <v>261</v>
      </c>
      <c r="B262" s="13" t="s">
        <v>758</v>
      </c>
      <c r="C262" s="13" t="s">
        <v>76</v>
      </c>
      <c r="D262" s="13" t="s">
        <v>810</v>
      </c>
      <c r="E262" s="3" t="s">
        <v>813</v>
      </c>
      <c r="F262" s="13" t="s">
        <v>117</v>
      </c>
      <c r="G262" s="13" t="s">
        <v>80</v>
      </c>
      <c r="H262" s="13">
        <v>0</v>
      </c>
      <c r="I262" s="13">
        <v>0</v>
      </c>
      <c r="J262" s="13" t="s">
        <v>814</v>
      </c>
      <c r="K262" s="13" t="s">
        <v>119</v>
      </c>
      <c r="L262" s="15" t="s">
        <v>24</v>
      </c>
      <c r="M262" s="15" t="s">
        <v>46</v>
      </c>
      <c r="N262" s="3"/>
    </row>
    <row r="263" spans="1:14" ht="25" x14ac:dyDescent="0.35">
      <c r="A263" s="13">
        <v>262</v>
      </c>
      <c r="B263" s="13" t="s">
        <v>758</v>
      </c>
      <c r="C263" s="13" t="s">
        <v>76</v>
      </c>
      <c r="D263" s="13" t="s">
        <v>254</v>
      </c>
      <c r="E263" s="3" t="s">
        <v>815</v>
      </c>
      <c r="F263" s="13" t="s">
        <v>117</v>
      </c>
      <c r="G263" s="13" t="s">
        <v>84</v>
      </c>
      <c r="H263" s="13">
        <v>0</v>
      </c>
      <c r="I263" s="13">
        <v>0</v>
      </c>
      <c r="J263" s="13" t="s">
        <v>816</v>
      </c>
      <c r="K263" s="13" t="s">
        <v>119</v>
      </c>
      <c r="L263" s="15" t="s">
        <v>32</v>
      </c>
      <c r="M263" s="15" t="s">
        <v>49</v>
      </c>
      <c r="N263" s="3"/>
    </row>
    <row r="264" spans="1:14" x14ac:dyDescent="0.35">
      <c r="A264" s="13">
        <v>263</v>
      </c>
      <c r="B264" s="13" t="s">
        <v>758</v>
      </c>
      <c r="C264" s="13" t="s">
        <v>76</v>
      </c>
      <c r="D264" s="13" t="s">
        <v>817</v>
      </c>
      <c r="E264" s="3" t="s">
        <v>818</v>
      </c>
      <c r="F264" s="13" t="s">
        <v>429</v>
      </c>
      <c r="G264" s="13" t="s">
        <v>84</v>
      </c>
      <c r="H264" s="13">
        <v>1</v>
      </c>
      <c r="I264" s="13">
        <v>0</v>
      </c>
      <c r="J264" s="13" t="s">
        <v>819</v>
      </c>
      <c r="K264" s="13" t="s">
        <v>119</v>
      </c>
      <c r="L264" s="15" t="s">
        <v>32</v>
      </c>
      <c r="M264" s="15" t="s">
        <v>49</v>
      </c>
      <c r="N264" s="3"/>
    </row>
    <row r="265" spans="1:14" x14ac:dyDescent="0.35">
      <c r="A265" s="13">
        <v>264</v>
      </c>
      <c r="B265" s="13" t="s">
        <v>758</v>
      </c>
      <c r="C265" s="13" t="s">
        <v>76</v>
      </c>
      <c r="D265" s="13" t="s">
        <v>820</v>
      </c>
      <c r="E265" s="3" t="s">
        <v>821</v>
      </c>
      <c r="F265" s="13" t="s">
        <v>429</v>
      </c>
      <c r="G265" s="13" t="s">
        <v>80</v>
      </c>
      <c r="H265" s="13">
        <v>0</v>
      </c>
      <c r="I265" s="13">
        <v>0</v>
      </c>
      <c r="J265" s="13" t="s">
        <v>822</v>
      </c>
      <c r="K265" s="13" t="s">
        <v>119</v>
      </c>
      <c r="L265" s="15" t="s">
        <v>16</v>
      </c>
      <c r="M265" s="15" t="s">
        <v>46</v>
      </c>
      <c r="N265" s="3"/>
    </row>
    <row r="266" spans="1:14" ht="25" x14ac:dyDescent="0.35">
      <c r="A266" s="13">
        <v>265</v>
      </c>
      <c r="B266" s="13" t="s">
        <v>758</v>
      </c>
      <c r="C266" s="13" t="s">
        <v>76</v>
      </c>
      <c r="D266" s="13" t="s">
        <v>823</v>
      </c>
      <c r="E266" s="3" t="s">
        <v>824</v>
      </c>
      <c r="F266" s="13" t="s">
        <v>429</v>
      </c>
      <c r="G266" s="13" t="s">
        <v>84</v>
      </c>
      <c r="H266" s="13">
        <v>0</v>
      </c>
      <c r="I266" s="13">
        <v>0</v>
      </c>
      <c r="J266" s="13" t="s">
        <v>825</v>
      </c>
      <c r="K266" s="13" t="s">
        <v>119</v>
      </c>
      <c r="L266" s="15" t="s">
        <v>32</v>
      </c>
      <c r="M266" s="15" t="s">
        <v>49</v>
      </c>
      <c r="N266" s="3"/>
    </row>
    <row r="267" spans="1:14" x14ac:dyDescent="0.35">
      <c r="A267" s="13">
        <v>266</v>
      </c>
      <c r="B267" s="13" t="s">
        <v>758</v>
      </c>
      <c r="C267" s="13" t="s">
        <v>76</v>
      </c>
      <c r="D267" s="13" t="s">
        <v>123</v>
      </c>
      <c r="E267" s="3" t="s">
        <v>826</v>
      </c>
      <c r="F267" s="13" t="s">
        <v>429</v>
      </c>
      <c r="G267" s="13" t="s">
        <v>80</v>
      </c>
      <c r="H267" s="13">
        <v>0</v>
      </c>
      <c r="I267" s="13">
        <v>0</v>
      </c>
      <c r="J267" s="13" t="s">
        <v>827</v>
      </c>
      <c r="K267" s="13" t="s">
        <v>119</v>
      </c>
      <c r="L267" s="15" t="s">
        <v>16</v>
      </c>
      <c r="M267" s="15" t="s">
        <v>49</v>
      </c>
      <c r="N267" s="3"/>
    </row>
    <row r="268" spans="1:14" ht="25" x14ac:dyDescent="0.35">
      <c r="A268" s="13">
        <v>267</v>
      </c>
      <c r="B268" s="13" t="s">
        <v>828</v>
      </c>
      <c r="C268" s="13" t="s">
        <v>76</v>
      </c>
      <c r="D268" s="13" t="s">
        <v>829</v>
      </c>
      <c r="E268" s="3" t="s">
        <v>830</v>
      </c>
      <c r="F268" s="13" t="s">
        <v>429</v>
      </c>
      <c r="G268" s="13" t="s">
        <v>80</v>
      </c>
      <c r="H268" s="13">
        <v>0</v>
      </c>
      <c r="I268" s="13">
        <v>0</v>
      </c>
      <c r="J268" s="13" t="s">
        <v>831</v>
      </c>
      <c r="K268" s="13" t="s">
        <v>119</v>
      </c>
      <c r="L268" s="15" t="s">
        <v>24</v>
      </c>
      <c r="M268" s="15" t="s">
        <v>46</v>
      </c>
      <c r="N268" s="3"/>
    </row>
    <row r="269" spans="1:14" x14ac:dyDescent="0.35">
      <c r="A269" s="13">
        <v>268</v>
      </c>
      <c r="B269" s="13" t="s">
        <v>828</v>
      </c>
      <c r="C269" s="13" t="s">
        <v>76</v>
      </c>
      <c r="D269" s="13" t="s">
        <v>829</v>
      </c>
      <c r="E269" s="3" t="s">
        <v>832</v>
      </c>
      <c r="F269" s="13" t="s">
        <v>429</v>
      </c>
      <c r="G269" s="13" t="s">
        <v>84</v>
      </c>
      <c r="H269" s="13">
        <v>0</v>
      </c>
      <c r="I269" s="13">
        <v>0</v>
      </c>
      <c r="J269" s="13" t="s">
        <v>833</v>
      </c>
      <c r="K269" s="13" t="s">
        <v>119</v>
      </c>
      <c r="L269" s="15" t="s">
        <v>24</v>
      </c>
      <c r="M269" s="15" t="s">
        <v>46</v>
      </c>
      <c r="N269" s="3"/>
    </row>
    <row r="270" spans="1:14" ht="25" x14ac:dyDescent="0.35">
      <c r="A270" s="13">
        <v>269</v>
      </c>
      <c r="B270" s="13" t="s">
        <v>828</v>
      </c>
      <c r="C270" s="13" t="s">
        <v>76</v>
      </c>
      <c r="D270" s="13" t="s">
        <v>468</v>
      </c>
      <c r="E270" s="3" t="s">
        <v>834</v>
      </c>
      <c r="F270" s="13" t="s">
        <v>429</v>
      </c>
      <c r="G270" s="13" t="s">
        <v>84</v>
      </c>
      <c r="H270" s="13">
        <v>0</v>
      </c>
      <c r="I270" s="13">
        <v>0</v>
      </c>
      <c r="J270" s="13" t="s">
        <v>835</v>
      </c>
      <c r="K270" s="13" t="s">
        <v>119</v>
      </c>
      <c r="L270" s="15" t="s">
        <v>32</v>
      </c>
      <c r="M270" s="15" t="s">
        <v>49</v>
      </c>
      <c r="N270" s="3"/>
    </row>
    <row r="271" spans="1:14" ht="37.5" x14ac:dyDescent="0.35">
      <c r="A271" s="13">
        <v>270</v>
      </c>
      <c r="B271" s="13" t="s">
        <v>828</v>
      </c>
      <c r="C271" s="13" t="s">
        <v>76</v>
      </c>
      <c r="D271" s="13" t="s">
        <v>468</v>
      </c>
      <c r="E271" s="3" t="s">
        <v>836</v>
      </c>
      <c r="F271" s="13" t="s">
        <v>429</v>
      </c>
      <c r="G271" s="13" t="s">
        <v>84</v>
      </c>
      <c r="H271" s="13">
        <v>0</v>
      </c>
      <c r="I271" s="13">
        <v>0</v>
      </c>
      <c r="J271" s="13" t="s">
        <v>837</v>
      </c>
      <c r="K271" s="13" t="s">
        <v>119</v>
      </c>
      <c r="L271" s="15" t="s">
        <v>20</v>
      </c>
      <c r="M271" s="15" t="s">
        <v>49</v>
      </c>
      <c r="N271" s="3"/>
    </row>
    <row r="272" spans="1:14" x14ac:dyDescent="0.35">
      <c r="A272" s="13">
        <v>271</v>
      </c>
      <c r="B272" s="13" t="s">
        <v>838</v>
      </c>
      <c r="C272" s="13" t="s">
        <v>76</v>
      </c>
      <c r="D272" s="13" t="s">
        <v>839</v>
      </c>
      <c r="E272" s="3" t="s">
        <v>840</v>
      </c>
      <c r="F272" s="13" t="s">
        <v>429</v>
      </c>
      <c r="G272" s="13" t="s">
        <v>80</v>
      </c>
      <c r="H272" s="13">
        <v>0</v>
      </c>
      <c r="I272" s="13">
        <v>0</v>
      </c>
      <c r="J272" s="13" t="s">
        <v>841</v>
      </c>
      <c r="K272" s="13" t="s">
        <v>119</v>
      </c>
      <c r="L272" s="15" t="s">
        <v>24</v>
      </c>
      <c r="M272" s="15" t="s">
        <v>46</v>
      </c>
      <c r="N272" s="3"/>
    </row>
    <row r="273" spans="1:14" x14ac:dyDescent="0.35">
      <c r="A273" s="13">
        <v>272</v>
      </c>
      <c r="B273" s="13" t="s">
        <v>838</v>
      </c>
      <c r="C273" s="13" t="s">
        <v>76</v>
      </c>
      <c r="D273" s="13" t="s">
        <v>842</v>
      </c>
      <c r="E273" s="3" t="s">
        <v>195</v>
      </c>
      <c r="F273" s="13" t="s">
        <v>429</v>
      </c>
      <c r="G273" s="13" t="s">
        <v>80</v>
      </c>
      <c r="H273" s="13">
        <v>0</v>
      </c>
      <c r="I273" s="13">
        <v>0</v>
      </c>
      <c r="J273" s="13" t="s">
        <v>843</v>
      </c>
      <c r="K273" s="13" t="s">
        <v>119</v>
      </c>
      <c r="L273" s="15" t="s">
        <v>12</v>
      </c>
      <c r="M273" s="15" t="s">
        <v>43</v>
      </c>
      <c r="N273" s="3"/>
    </row>
    <row r="274" spans="1:14" x14ac:dyDescent="0.35">
      <c r="A274" s="13">
        <v>273</v>
      </c>
      <c r="B274" s="13" t="s">
        <v>844</v>
      </c>
      <c r="C274" s="13" t="s">
        <v>76</v>
      </c>
      <c r="D274" s="13" t="s">
        <v>845</v>
      </c>
      <c r="E274" s="3" t="s">
        <v>846</v>
      </c>
      <c r="F274" s="13" t="s">
        <v>429</v>
      </c>
      <c r="G274" s="13" t="s">
        <v>80</v>
      </c>
      <c r="H274" s="13">
        <v>0</v>
      </c>
      <c r="I274" s="13">
        <v>0</v>
      </c>
      <c r="J274" s="13" t="s">
        <v>847</v>
      </c>
      <c r="K274" s="13" t="s">
        <v>119</v>
      </c>
      <c r="L274" s="15" t="s">
        <v>24</v>
      </c>
      <c r="M274" s="15" t="s">
        <v>46</v>
      </c>
      <c r="N274" s="3"/>
    </row>
    <row r="275" spans="1:14" ht="62.5" x14ac:dyDescent="0.35">
      <c r="A275" s="13">
        <v>274</v>
      </c>
      <c r="B275" s="13" t="s">
        <v>844</v>
      </c>
      <c r="C275" s="13" t="s">
        <v>76</v>
      </c>
      <c r="D275" s="13" t="s">
        <v>848</v>
      </c>
      <c r="E275" s="3" t="s">
        <v>849</v>
      </c>
      <c r="F275" s="13" t="s">
        <v>117</v>
      </c>
      <c r="G275" s="13" t="s">
        <v>84</v>
      </c>
      <c r="H275" s="13">
        <v>0</v>
      </c>
      <c r="I275" s="13">
        <v>0</v>
      </c>
      <c r="J275" s="13" t="s">
        <v>850</v>
      </c>
      <c r="K275" s="13" t="s">
        <v>119</v>
      </c>
      <c r="L275" s="15" t="s">
        <v>28</v>
      </c>
      <c r="M275" s="15" t="s">
        <v>46</v>
      </c>
      <c r="N275" s="3"/>
    </row>
    <row r="276" spans="1:14" x14ac:dyDescent="0.35">
      <c r="A276" s="13">
        <v>275</v>
      </c>
      <c r="B276" s="13" t="s">
        <v>851</v>
      </c>
      <c r="C276" s="13" t="s">
        <v>76</v>
      </c>
      <c r="D276" s="13" t="s">
        <v>852</v>
      </c>
      <c r="E276" s="3" t="s">
        <v>853</v>
      </c>
      <c r="F276" s="13" t="s">
        <v>429</v>
      </c>
      <c r="G276" s="13" t="s">
        <v>80</v>
      </c>
      <c r="H276" s="13">
        <v>0</v>
      </c>
      <c r="I276" s="13">
        <v>0</v>
      </c>
      <c r="J276" s="13" t="s">
        <v>854</v>
      </c>
      <c r="K276" s="13" t="s">
        <v>119</v>
      </c>
      <c r="L276" s="15" t="s">
        <v>28</v>
      </c>
      <c r="M276" s="15" t="s">
        <v>49</v>
      </c>
      <c r="N276" s="3"/>
    </row>
    <row r="277" spans="1:14" x14ac:dyDescent="0.35">
      <c r="A277" s="13">
        <v>276</v>
      </c>
      <c r="B277" s="13" t="s">
        <v>86</v>
      </c>
      <c r="C277" s="13" t="s">
        <v>76</v>
      </c>
      <c r="D277" s="13" t="s">
        <v>855</v>
      </c>
      <c r="E277" s="3" t="s">
        <v>856</v>
      </c>
      <c r="F277" s="13" t="s">
        <v>857</v>
      </c>
      <c r="G277" s="13" t="s">
        <v>80</v>
      </c>
      <c r="H277" s="13">
        <v>1</v>
      </c>
      <c r="I277" s="13">
        <v>2</v>
      </c>
      <c r="J277" s="13" t="s">
        <v>858</v>
      </c>
      <c r="K277" s="13" t="s">
        <v>859</v>
      </c>
      <c r="L277" s="15" t="s">
        <v>12</v>
      </c>
      <c r="M277" s="15" t="s">
        <v>43</v>
      </c>
      <c r="N277" s="3"/>
    </row>
    <row r="278" spans="1:14" x14ac:dyDescent="0.35">
      <c r="A278" s="13">
        <v>277</v>
      </c>
      <c r="B278" s="13" t="s">
        <v>591</v>
      </c>
      <c r="C278" s="13" t="s">
        <v>76</v>
      </c>
      <c r="D278" s="13" t="s">
        <v>860</v>
      </c>
      <c r="E278" s="3" t="s">
        <v>861</v>
      </c>
      <c r="F278" s="13" t="s">
        <v>857</v>
      </c>
      <c r="G278" s="13" t="s">
        <v>80</v>
      </c>
      <c r="H278" s="13">
        <v>3</v>
      </c>
      <c r="I278" s="13">
        <v>0</v>
      </c>
      <c r="J278" s="13" t="s">
        <v>862</v>
      </c>
      <c r="K278" s="13" t="s">
        <v>859</v>
      </c>
      <c r="L278" s="15" t="s">
        <v>12</v>
      </c>
      <c r="M278" s="15" t="s">
        <v>43</v>
      </c>
      <c r="N278" s="3"/>
    </row>
    <row r="279" spans="1:14" ht="25" x14ac:dyDescent="0.35">
      <c r="A279" s="13">
        <v>278</v>
      </c>
      <c r="B279" s="13" t="s">
        <v>591</v>
      </c>
      <c r="C279" s="13" t="s">
        <v>76</v>
      </c>
      <c r="D279" s="13" t="s">
        <v>863</v>
      </c>
      <c r="E279" s="3" t="s">
        <v>864</v>
      </c>
      <c r="F279" s="13" t="s">
        <v>857</v>
      </c>
      <c r="G279" s="13" t="s">
        <v>80</v>
      </c>
      <c r="H279" s="13">
        <v>3</v>
      </c>
      <c r="I279" s="13">
        <v>3</v>
      </c>
      <c r="J279" s="13" t="s">
        <v>865</v>
      </c>
      <c r="K279" s="13" t="s">
        <v>859</v>
      </c>
      <c r="L279" s="15" t="s">
        <v>24</v>
      </c>
      <c r="M279" s="15" t="s">
        <v>46</v>
      </c>
      <c r="N279" s="3"/>
    </row>
    <row r="280" spans="1:14" ht="100" x14ac:dyDescent="0.35">
      <c r="A280" s="13">
        <v>279</v>
      </c>
      <c r="B280" s="13" t="s">
        <v>591</v>
      </c>
      <c r="C280" s="13" t="s">
        <v>76</v>
      </c>
      <c r="D280" s="13" t="s">
        <v>866</v>
      </c>
      <c r="E280" s="3" t="s">
        <v>867</v>
      </c>
      <c r="F280" s="13" t="s">
        <v>857</v>
      </c>
      <c r="G280" s="13" t="s">
        <v>80</v>
      </c>
      <c r="H280" s="13">
        <v>5</v>
      </c>
      <c r="I280" s="13">
        <v>0</v>
      </c>
      <c r="J280" s="13" t="s">
        <v>868</v>
      </c>
      <c r="K280" s="13" t="s">
        <v>859</v>
      </c>
      <c r="L280" s="15" t="s">
        <v>12</v>
      </c>
      <c r="M280" s="15" t="s">
        <v>43</v>
      </c>
      <c r="N280" s="3"/>
    </row>
    <row r="281" spans="1:14" ht="25" x14ac:dyDescent="0.35">
      <c r="A281" s="13">
        <v>280</v>
      </c>
      <c r="B281" s="13" t="s">
        <v>758</v>
      </c>
      <c r="C281" s="13" t="s">
        <v>76</v>
      </c>
      <c r="D281" s="13" t="s">
        <v>869</v>
      </c>
      <c r="E281" s="3" t="s">
        <v>870</v>
      </c>
      <c r="F281" s="13" t="s">
        <v>857</v>
      </c>
      <c r="G281" s="13" t="s">
        <v>84</v>
      </c>
      <c r="H281" s="13">
        <v>0</v>
      </c>
      <c r="I281" s="13">
        <v>0</v>
      </c>
      <c r="J281" s="13" t="s">
        <v>871</v>
      </c>
      <c r="K281" s="13" t="s">
        <v>859</v>
      </c>
      <c r="L281" s="15" t="s">
        <v>24</v>
      </c>
      <c r="M281" s="15" t="s">
        <v>46</v>
      </c>
      <c r="N281" s="3"/>
    </row>
    <row r="282" spans="1:14" x14ac:dyDescent="0.35">
      <c r="A282" s="13">
        <v>281</v>
      </c>
      <c r="B282" s="13" t="s">
        <v>758</v>
      </c>
      <c r="C282" s="13" t="s">
        <v>76</v>
      </c>
      <c r="D282" s="13" t="s">
        <v>872</v>
      </c>
      <c r="E282" s="3" t="s">
        <v>873</v>
      </c>
      <c r="F282" s="13" t="s">
        <v>857</v>
      </c>
      <c r="G282" s="13" t="s">
        <v>84</v>
      </c>
      <c r="H282" s="13">
        <v>0</v>
      </c>
      <c r="I282" s="13">
        <v>1</v>
      </c>
      <c r="J282" s="13" t="s">
        <v>874</v>
      </c>
      <c r="K282" s="13" t="s">
        <v>859</v>
      </c>
      <c r="L282" s="15" t="s">
        <v>20</v>
      </c>
      <c r="M282" s="15" t="s">
        <v>46</v>
      </c>
      <c r="N282" s="3"/>
    </row>
    <row r="283" spans="1:14" x14ac:dyDescent="0.35">
      <c r="A283" s="13">
        <v>282</v>
      </c>
      <c r="B283" s="13" t="s">
        <v>758</v>
      </c>
      <c r="C283" s="13" t="s">
        <v>76</v>
      </c>
      <c r="D283" s="13" t="s">
        <v>855</v>
      </c>
      <c r="E283" s="3" t="s">
        <v>875</v>
      </c>
      <c r="F283" s="13" t="s">
        <v>857</v>
      </c>
      <c r="G283" s="13" t="s">
        <v>84</v>
      </c>
      <c r="H283" s="13">
        <v>1</v>
      </c>
      <c r="I283" s="13">
        <v>0</v>
      </c>
      <c r="J283" s="13" t="s">
        <v>876</v>
      </c>
      <c r="K283" s="13" t="s">
        <v>859</v>
      </c>
      <c r="L283" s="15" t="s">
        <v>32</v>
      </c>
      <c r="M283" s="15" t="s">
        <v>49</v>
      </c>
      <c r="N283" s="3"/>
    </row>
    <row r="284" spans="1:14" x14ac:dyDescent="0.35">
      <c r="A284" s="13">
        <v>283</v>
      </c>
      <c r="B284" s="13" t="s">
        <v>758</v>
      </c>
      <c r="C284" s="13" t="s">
        <v>76</v>
      </c>
      <c r="D284" s="13" t="s">
        <v>383</v>
      </c>
      <c r="E284" s="3" t="s">
        <v>877</v>
      </c>
      <c r="F284" s="13" t="s">
        <v>857</v>
      </c>
      <c r="G284" s="13" t="s">
        <v>80</v>
      </c>
      <c r="H284" s="13">
        <v>1</v>
      </c>
      <c r="I284" s="13">
        <v>0</v>
      </c>
      <c r="J284" s="13" t="s">
        <v>878</v>
      </c>
      <c r="K284" s="13" t="s">
        <v>859</v>
      </c>
      <c r="L284" s="15" t="s">
        <v>12</v>
      </c>
      <c r="M284" s="15" t="s">
        <v>43</v>
      </c>
      <c r="N284" s="3"/>
    </row>
    <row r="285" spans="1:14" x14ac:dyDescent="0.35">
      <c r="A285" s="13">
        <v>284</v>
      </c>
      <c r="B285" s="13" t="s">
        <v>758</v>
      </c>
      <c r="C285" s="13" t="s">
        <v>76</v>
      </c>
      <c r="D285" s="13" t="s">
        <v>879</v>
      </c>
      <c r="E285" s="3" t="s">
        <v>880</v>
      </c>
      <c r="F285" s="13" t="s">
        <v>857</v>
      </c>
      <c r="G285" s="13" t="s">
        <v>80</v>
      </c>
      <c r="H285" s="13">
        <v>0</v>
      </c>
      <c r="I285" s="13">
        <v>0</v>
      </c>
      <c r="J285" s="13" t="s">
        <v>881</v>
      </c>
      <c r="K285" s="13" t="s">
        <v>859</v>
      </c>
      <c r="L285" s="15" t="s">
        <v>24</v>
      </c>
      <c r="M285" s="15" t="s">
        <v>46</v>
      </c>
      <c r="N285" s="3"/>
    </row>
    <row r="286" spans="1:14" x14ac:dyDescent="0.35">
      <c r="A286" s="13">
        <v>285</v>
      </c>
      <c r="B286" s="13" t="s">
        <v>758</v>
      </c>
      <c r="C286" s="13" t="s">
        <v>76</v>
      </c>
      <c r="D286" s="13" t="s">
        <v>882</v>
      </c>
      <c r="E286" s="3" t="s">
        <v>883</v>
      </c>
      <c r="F286" s="13" t="s">
        <v>857</v>
      </c>
      <c r="G286" s="13" t="s">
        <v>80</v>
      </c>
      <c r="H286" s="13">
        <v>0</v>
      </c>
      <c r="I286" s="13">
        <v>2</v>
      </c>
      <c r="J286" s="13" t="s">
        <v>884</v>
      </c>
      <c r="K286" s="13" t="s">
        <v>859</v>
      </c>
      <c r="L286" s="15" t="s">
        <v>16</v>
      </c>
      <c r="M286" s="15" t="s">
        <v>49</v>
      </c>
      <c r="N286" s="3"/>
    </row>
    <row r="287" spans="1:14" x14ac:dyDescent="0.35">
      <c r="A287" s="13">
        <v>286</v>
      </c>
      <c r="B287" s="13" t="s">
        <v>828</v>
      </c>
      <c r="C287" s="13" t="s">
        <v>76</v>
      </c>
      <c r="D287" s="13" t="s">
        <v>885</v>
      </c>
      <c r="E287" s="3" t="s">
        <v>886</v>
      </c>
      <c r="F287" s="13" t="s">
        <v>857</v>
      </c>
      <c r="G287" s="13" t="s">
        <v>80</v>
      </c>
      <c r="H287" s="13">
        <v>0</v>
      </c>
      <c r="I287" s="13">
        <v>0</v>
      </c>
      <c r="J287" s="13" t="s">
        <v>887</v>
      </c>
      <c r="K287" s="13" t="s">
        <v>859</v>
      </c>
      <c r="L287" s="15" t="s">
        <v>16</v>
      </c>
      <c r="M287" s="15" t="s">
        <v>49</v>
      </c>
      <c r="N287" s="3"/>
    </row>
    <row r="288" spans="1:14" x14ac:dyDescent="0.35">
      <c r="A288" s="13">
        <v>287</v>
      </c>
      <c r="B288" s="13" t="s">
        <v>828</v>
      </c>
      <c r="C288" s="13" t="s">
        <v>76</v>
      </c>
      <c r="D288" s="13" t="s">
        <v>888</v>
      </c>
      <c r="E288" s="3" t="s">
        <v>889</v>
      </c>
      <c r="F288" s="13" t="s">
        <v>857</v>
      </c>
      <c r="G288" s="13" t="s">
        <v>80</v>
      </c>
      <c r="H288" s="13">
        <v>3</v>
      </c>
      <c r="I288" s="13">
        <v>0</v>
      </c>
      <c r="J288" s="13" t="s">
        <v>890</v>
      </c>
      <c r="K288" s="13" t="s">
        <v>859</v>
      </c>
      <c r="L288" s="15" t="s">
        <v>24</v>
      </c>
      <c r="M288" s="15" t="s">
        <v>46</v>
      </c>
      <c r="N288" s="3"/>
    </row>
    <row r="289" spans="1:14" x14ac:dyDescent="0.35">
      <c r="A289" s="13">
        <v>288</v>
      </c>
      <c r="B289" s="13" t="s">
        <v>828</v>
      </c>
      <c r="C289" s="13" t="s">
        <v>76</v>
      </c>
      <c r="D289" s="13" t="s">
        <v>891</v>
      </c>
      <c r="E289" s="3" t="s">
        <v>892</v>
      </c>
      <c r="F289" s="13" t="s">
        <v>857</v>
      </c>
      <c r="G289" s="13" t="s">
        <v>84</v>
      </c>
      <c r="H289" s="13">
        <v>0</v>
      </c>
      <c r="I289" s="13">
        <v>0</v>
      </c>
      <c r="J289" s="13" t="s">
        <v>893</v>
      </c>
      <c r="K289" s="13" t="s">
        <v>859</v>
      </c>
      <c r="L289" s="15" t="s">
        <v>32</v>
      </c>
      <c r="M289" s="15" t="s">
        <v>49</v>
      </c>
      <c r="N289" s="3"/>
    </row>
    <row r="290" spans="1:14" x14ac:dyDescent="0.35">
      <c r="A290" s="13">
        <v>289</v>
      </c>
      <c r="B290" s="13" t="s">
        <v>828</v>
      </c>
      <c r="C290" s="13" t="s">
        <v>76</v>
      </c>
      <c r="D290" s="13" t="s">
        <v>891</v>
      </c>
      <c r="E290" s="3" t="s">
        <v>894</v>
      </c>
      <c r="F290" s="13" t="s">
        <v>857</v>
      </c>
      <c r="G290" s="13" t="s">
        <v>84</v>
      </c>
      <c r="H290" s="13">
        <v>0</v>
      </c>
      <c r="I290" s="13">
        <v>1</v>
      </c>
      <c r="J290" s="13" t="s">
        <v>895</v>
      </c>
      <c r="K290" s="13" t="s">
        <v>859</v>
      </c>
      <c r="L290" s="15" t="s">
        <v>24</v>
      </c>
      <c r="M290" s="15" t="s">
        <v>46</v>
      </c>
      <c r="N290" s="3"/>
    </row>
    <row r="291" spans="1:14" x14ac:dyDescent="0.35">
      <c r="A291" s="13">
        <v>290</v>
      </c>
      <c r="B291" s="13" t="s">
        <v>828</v>
      </c>
      <c r="C291" s="13" t="s">
        <v>76</v>
      </c>
      <c r="D291" s="13" t="s">
        <v>882</v>
      </c>
      <c r="E291" s="3" t="s">
        <v>896</v>
      </c>
      <c r="F291" s="13" t="s">
        <v>857</v>
      </c>
      <c r="G291" s="13" t="s">
        <v>84</v>
      </c>
      <c r="H291" s="13">
        <v>0</v>
      </c>
      <c r="I291" s="13">
        <v>0</v>
      </c>
      <c r="J291" s="13" t="s">
        <v>897</v>
      </c>
      <c r="K291" s="13" t="s">
        <v>859</v>
      </c>
      <c r="L291" s="15" t="s">
        <v>32</v>
      </c>
      <c r="M291" s="15" t="s">
        <v>49</v>
      </c>
      <c r="N291" s="3"/>
    </row>
    <row r="292" spans="1:14" ht="25" x14ac:dyDescent="0.35">
      <c r="A292" s="13">
        <v>291</v>
      </c>
      <c r="B292" s="13" t="s">
        <v>828</v>
      </c>
      <c r="C292" s="13" t="s">
        <v>76</v>
      </c>
      <c r="D292" s="13" t="s">
        <v>898</v>
      </c>
      <c r="E292" s="3" t="s">
        <v>899</v>
      </c>
      <c r="F292" s="13" t="s">
        <v>857</v>
      </c>
      <c r="G292" s="13" t="s">
        <v>84</v>
      </c>
      <c r="H292" s="13">
        <v>0</v>
      </c>
      <c r="I292" s="13">
        <v>0</v>
      </c>
      <c r="J292" s="13" t="s">
        <v>900</v>
      </c>
      <c r="K292" s="13" t="s">
        <v>859</v>
      </c>
      <c r="L292" s="15" t="s">
        <v>24</v>
      </c>
      <c r="M292" s="15" t="s">
        <v>46</v>
      </c>
      <c r="N292" s="3"/>
    </row>
    <row r="293" spans="1:14" x14ac:dyDescent="0.35">
      <c r="A293" s="13">
        <v>292</v>
      </c>
      <c r="B293" s="13" t="s">
        <v>828</v>
      </c>
      <c r="C293" s="13" t="s">
        <v>76</v>
      </c>
      <c r="D293" s="13" t="s">
        <v>901</v>
      </c>
      <c r="E293" s="3" t="s">
        <v>902</v>
      </c>
      <c r="F293" s="13" t="s">
        <v>857</v>
      </c>
      <c r="G293" s="13" t="s">
        <v>80</v>
      </c>
      <c r="H293" s="13">
        <v>0</v>
      </c>
      <c r="I293" s="13">
        <v>0</v>
      </c>
      <c r="J293" s="13" t="s">
        <v>903</v>
      </c>
      <c r="K293" s="13" t="s">
        <v>859</v>
      </c>
      <c r="L293" s="15" t="s">
        <v>12</v>
      </c>
      <c r="M293" s="15" t="s">
        <v>43</v>
      </c>
      <c r="N293" s="3"/>
    </row>
    <row r="294" spans="1:14" ht="25" x14ac:dyDescent="0.35">
      <c r="A294" s="13">
        <v>293</v>
      </c>
      <c r="B294" s="13" t="s">
        <v>75</v>
      </c>
      <c r="C294" s="13" t="s">
        <v>76</v>
      </c>
      <c r="D294" s="13" t="s">
        <v>904</v>
      </c>
      <c r="E294" s="3" t="s">
        <v>905</v>
      </c>
      <c r="F294" s="13" t="s">
        <v>906</v>
      </c>
      <c r="G294" s="13" t="s">
        <v>80</v>
      </c>
      <c r="H294" s="13">
        <v>1</v>
      </c>
      <c r="I294" s="13">
        <v>0</v>
      </c>
      <c r="J294" s="13" t="s">
        <v>907</v>
      </c>
      <c r="K294" s="13" t="s">
        <v>904</v>
      </c>
      <c r="L294" s="15" t="s">
        <v>36</v>
      </c>
      <c r="M294" s="15" t="s">
        <v>49</v>
      </c>
      <c r="N294" s="3"/>
    </row>
    <row r="295" spans="1:14" ht="25" x14ac:dyDescent="0.35">
      <c r="A295" s="13">
        <v>294</v>
      </c>
      <c r="B295" s="13" t="s">
        <v>86</v>
      </c>
      <c r="C295" s="13" t="s">
        <v>76</v>
      </c>
      <c r="D295" s="13" t="s">
        <v>908</v>
      </c>
      <c r="E295" s="3" t="s">
        <v>909</v>
      </c>
      <c r="F295" s="13" t="s">
        <v>906</v>
      </c>
      <c r="G295" s="13" t="s">
        <v>80</v>
      </c>
      <c r="H295" s="13">
        <v>1</v>
      </c>
      <c r="I295" s="13">
        <v>3</v>
      </c>
      <c r="J295" s="13" t="s">
        <v>910</v>
      </c>
      <c r="K295" s="13" t="s">
        <v>904</v>
      </c>
      <c r="L295" s="15" t="s">
        <v>24</v>
      </c>
      <c r="M295" s="15" t="s">
        <v>46</v>
      </c>
      <c r="N295" s="3"/>
    </row>
    <row r="296" spans="1:14" x14ac:dyDescent="0.35">
      <c r="A296" s="13">
        <v>295</v>
      </c>
      <c r="B296" s="13" t="s">
        <v>86</v>
      </c>
      <c r="C296" s="13" t="s">
        <v>76</v>
      </c>
      <c r="D296" s="13" t="s">
        <v>904</v>
      </c>
      <c r="E296" s="3" t="s">
        <v>911</v>
      </c>
      <c r="F296" s="13" t="s">
        <v>906</v>
      </c>
      <c r="G296" s="13" t="s">
        <v>84</v>
      </c>
      <c r="H296" s="13">
        <v>0</v>
      </c>
      <c r="I296" s="13">
        <v>2</v>
      </c>
      <c r="J296" s="13" t="s">
        <v>912</v>
      </c>
      <c r="K296" s="13" t="s">
        <v>904</v>
      </c>
      <c r="L296" s="15" t="s">
        <v>32</v>
      </c>
      <c r="M296" s="15" t="s">
        <v>49</v>
      </c>
      <c r="N296" s="3"/>
    </row>
    <row r="297" spans="1:14" x14ac:dyDescent="0.35">
      <c r="A297" s="13">
        <v>296</v>
      </c>
      <c r="B297" s="13" t="s">
        <v>86</v>
      </c>
      <c r="C297" s="13" t="s">
        <v>76</v>
      </c>
      <c r="D297" s="13" t="s">
        <v>908</v>
      </c>
      <c r="E297" s="3" t="s">
        <v>913</v>
      </c>
      <c r="F297" s="13" t="s">
        <v>906</v>
      </c>
      <c r="G297" s="13" t="s">
        <v>84</v>
      </c>
      <c r="H297" s="13">
        <v>0</v>
      </c>
      <c r="I297" s="13">
        <v>0</v>
      </c>
      <c r="J297" s="13" t="s">
        <v>914</v>
      </c>
      <c r="K297" s="13" t="s">
        <v>904</v>
      </c>
      <c r="L297" s="15" t="s">
        <v>24</v>
      </c>
      <c r="M297" s="15" t="s">
        <v>46</v>
      </c>
      <c r="N297" s="3"/>
    </row>
    <row r="298" spans="1:14" x14ac:dyDescent="0.35">
      <c r="A298" s="13">
        <v>297</v>
      </c>
      <c r="B298" s="13" t="s">
        <v>86</v>
      </c>
      <c r="C298" s="13" t="s">
        <v>76</v>
      </c>
      <c r="D298" s="13" t="s">
        <v>915</v>
      </c>
      <c r="E298" s="3" t="s">
        <v>916</v>
      </c>
      <c r="F298" s="13" t="s">
        <v>906</v>
      </c>
      <c r="G298" s="13" t="s">
        <v>84</v>
      </c>
      <c r="H298" s="13">
        <v>0</v>
      </c>
      <c r="I298" s="13">
        <v>0</v>
      </c>
      <c r="J298" s="13" t="s">
        <v>917</v>
      </c>
      <c r="K298" s="13" t="s">
        <v>904</v>
      </c>
      <c r="L298" s="15" t="s">
        <v>36</v>
      </c>
      <c r="M298" s="15" t="s">
        <v>49</v>
      </c>
      <c r="N298" s="3"/>
    </row>
    <row r="299" spans="1:14" x14ac:dyDescent="0.35">
      <c r="A299" s="13">
        <v>298</v>
      </c>
      <c r="B299" s="13" t="s">
        <v>86</v>
      </c>
      <c r="C299" s="13" t="s">
        <v>76</v>
      </c>
      <c r="D299" s="13" t="s">
        <v>918</v>
      </c>
      <c r="E299" s="3" t="s">
        <v>919</v>
      </c>
      <c r="F299" s="13" t="s">
        <v>920</v>
      </c>
      <c r="G299" s="13" t="s">
        <v>80</v>
      </c>
      <c r="H299" s="13">
        <v>0</v>
      </c>
      <c r="I299" s="13">
        <v>1</v>
      </c>
      <c r="J299" s="13" t="s">
        <v>921</v>
      </c>
      <c r="K299" s="13" t="s">
        <v>922</v>
      </c>
      <c r="L299" s="15" t="s">
        <v>32</v>
      </c>
      <c r="M299" s="15" t="s">
        <v>49</v>
      </c>
      <c r="N299" s="3"/>
    </row>
    <row r="300" spans="1:14" x14ac:dyDescent="0.35">
      <c r="A300" s="13">
        <v>299</v>
      </c>
      <c r="B300" s="13" t="s">
        <v>86</v>
      </c>
      <c r="C300" s="13" t="s">
        <v>76</v>
      </c>
      <c r="D300" s="13" t="s">
        <v>923</v>
      </c>
      <c r="E300" s="3" t="s">
        <v>924</v>
      </c>
      <c r="F300" s="13" t="s">
        <v>920</v>
      </c>
      <c r="G300" s="13" t="s">
        <v>80</v>
      </c>
      <c r="H300" s="13">
        <v>0</v>
      </c>
      <c r="I300" s="13">
        <v>1</v>
      </c>
      <c r="J300" s="13" t="s">
        <v>925</v>
      </c>
      <c r="K300" s="13" t="s">
        <v>922</v>
      </c>
      <c r="L300" s="15" t="s">
        <v>32</v>
      </c>
      <c r="M300" s="15" t="s">
        <v>49</v>
      </c>
      <c r="N300" s="3"/>
    </row>
    <row r="301" spans="1:14" x14ac:dyDescent="0.35">
      <c r="A301" s="13">
        <v>300</v>
      </c>
      <c r="B301" s="13" t="s">
        <v>86</v>
      </c>
      <c r="C301" s="13" t="s">
        <v>76</v>
      </c>
      <c r="D301" s="13" t="s">
        <v>922</v>
      </c>
      <c r="E301" s="3" t="s">
        <v>926</v>
      </c>
      <c r="F301" s="13" t="s">
        <v>920</v>
      </c>
      <c r="G301" s="13" t="s">
        <v>84</v>
      </c>
      <c r="H301" s="13">
        <v>0</v>
      </c>
      <c r="I301" s="13">
        <v>0</v>
      </c>
      <c r="J301" s="13" t="s">
        <v>927</v>
      </c>
      <c r="K301" s="13" t="s">
        <v>922</v>
      </c>
      <c r="L301" s="15" t="s">
        <v>36</v>
      </c>
      <c r="M301" s="15" t="s">
        <v>49</v>
      </c>
      <c r="N301" s="3"/>
    </row>
    <row r="302" spans="1:14" x14ac:dyDescent="0.35">
      <c r="A302" s="13">
        <v>301</v>
      </c>
      <c r="B302" s="13" t="s">
        <v>86</v>
      </c>
      <c r="C302" s="13" t="s">
        <v>76</v>
      </c>
      <c r="D302" s="13" t="s">
        <v>922</v>
      </c>
      <c r="E302" s="3" t="s">
        <v>928</v>
      </c>
      <c r="F302" s="13" t="s">
        <v>920</v>
      </c>
      <c r="G302" s="13" t="s">
        <v>84</v>
      </c>
      <c r="H302" s="13">
        <v>1</v>
      </c>
      <c r="I302" s="13">
        <v>0</v>
      </c>
      <c r="J302" s="13" t="s">
        <v>929</v>
      </c>
      <c r="K302" s="13" t="s">
        <v>922</v>
      </c>
      <c r="L302" s="15" t="s">
        <v>32</v>
      </c>
      <c r="M302" s="15" t="s">
        <v>49</v>
      </c>
      <c r="N302" s="3"/>
    </row>
    <row r="303" spans="1:14" x14ac:dyDescent="0.35">
      <c r="A303" s="13">
        <v>302</v>
      </c>
      <c r="B303" s="13" t="s">
        <v>86</v>
      </c>
      <c r="C303" s="13" t="s">
        <v>76</v>
      </c>
      <c r="D303" s="13" t="s">
        <v>922</v>
      </c>
      <c r="E303" s="3" t="s">
        <v>930</v>
      </c>
      <c r="F303" s="13" t="s">
        <v>920</v>
      </c>
      <c r="G303" s="13" t="s">
        <v>84</v>
      </c>
      <c r="H303" s="13">
        <v>0</v>
      </c>
      <c r="I303" s="13">
        <v>0</v>
      </c>
      <c r="J303" s="13" t="s">
        <v>931</v>
      </c>
      <c r="K303" s="13" t="s">
        <v>922</v>
      </c>
      <c r="L303" s="15" t="s">
        <v>32</v>
      </c>
      <c r="M303" s="15" t="s">
        <v>49</v>
      </c>
      <c r="N303" s="3"/>
    </row>
    <row r="304" spans="1:14" x14ac:dyDescent="0.35">
      <c r="A304" s="13">
        <v>303</v>
      </c>
      <c r="B304" s="13" t="s">
        <v>86</v>
      </c>
      <c r="C304" s="13" t="s">
        <v>76</v>
      </c>
      <c r="D304" s="13" t="s">
        <v>922</v>
      </c>
      <c r="E304" s="3" t="s">
        <v>932</v>
      </c>
      <c r="F304" s="13" t="s">
        <v>920</v>
      </c>
      <c r="G304" s="13" t="s">
        <v>84</v>
      </c>
      <c r="H304" s="13">
        <v>0</v>
      </c>
      <c r="I304" s="13">
        <v>0</v>
      </c>
      <c r="J304" s="13" t="s">
        <v>933</v>
      </c>
      <c r="K304" s="13" t="s">
        <v>922</v>
      </c>
      <c r="L304" s="15" t="s">
        <v>32</v>
      </c>
      <c r="M304" s="15" t="s">
        <v>49</v>
      </c>
      <c r="N304" s="3"/>
    </row>
    <row r="305" spans="1:14" x14ac:dyDescent="0.35">
      <c r="A305" s="13">
        <v>304</v>
      </c>
      <c r="B305" s="13" t="s">
        <v>86</v>
      </c>
      <c r="C305" s="13" t="s">
        <v>76</v>
      </c>
      <c r="D305" s="13" t="s">
        <v>934</v>
      </c>
      <c r="E305" s="3" t="s">
        <v>935</v>
      </c>
      <c r="F305" s="13" t="s">
        <v>920</v>
      </c>
      <c r="G305" s="13" t="s">
        <v>80</v>
      </c>
      <c r="H305" s="13">
        <v>0</v>
      </c>
      <c r="I305" s="13">
        <v>1</v>
      </c>
      <c r="J305" s="13" t="s">
        <v>936</v>
      </c>
      <c r="K305" s="13" t="s">
        <v>922</v>
      </c>
      <c r="L305" s="15" t="s">
        <v>32</v>
      </c>
      <c r="M305" s="15" t="s">
        <v>49</v>
      </c>
      <c r="N305" s="3"/>
    </row>
    <row r="306" spans="1:14" x14ac:dyDescent="0.35">
      <c r="A306" s="13">
        <v>305</v>
      </c>
      <c r="B306" s="13" t="s">
        <v>86</v>
      </c>
      <c r="C306" s="13" t="s">
        <v>76</v>
      </c>
      <c r="D306" s="13" t="s">
        <v>937</v>
      </c>
      <c r="E306" s="3" t="s">
        <v>396</v>
      </c>
      <c r="F306" s="13" t="s">
        <v>920</v>
      </c>
      <c r="G306" s="13" t="s">
        <v>80</v>
      </c>
      <c r="H306" s="13">
        <v>0</v>
      </c>
      <c r="I306" s="13">
        <v>0</v>
      </c>
      <c r="J306" s="13" t="s">
        <v>938</v>
      </c>
      <c r="K306" s="13" t="s">
        <v>922</v>
      </c>
      <c r="L306" s="15" t="s">
        <v>32</v>
      </c>
      <c r="M306" s="15" t="s">
        <v>49</v>
      </c>
      <c r="N306" s="3"/>
    </row>
    <row r="307" spans="1:14" x14ac:dyDescent="0.35">
      <c r="A307" s="13">
        <v>306</v>
      </c>
      <c r="B307" s="13" t="s">
        <v>86</v>
      </c>
      <c r="C307" s="13" t="s">
        <v>76</v>
      </c>
      <c r="D307" s="13" t="s">
        <v>922</v>
      </c>
      <c r="E307" s="3" t="s">
        <v>939</v>
      </c>
      <c r="F307" s="13" t="s">
        <v>920</v>
      </c>
      <c r="G307" s="13" t="s">
        <v>84</v>
      </c>
      <c r="H307" s="13">
        <v>0</v>
      </c>
      <c r="I307" s="13">
        <v>0</v>
      </c>
      <c r="J307" s="13" t="s">
        <v>940</v>
      </c>
      <c r="K307" s="13" t="s">
        <v>922</v>
      </c>
      <c r="L307" s="15" t="s">
        <v>28</v>
      </c>
      <c r="M307" s="15" t="s">
        <v>49</v>
      </c>
      <c r="N307" s="3"/>
    </row>
    <row r="308" spans="1:14" x14ac:dyDescent="0.35">
      <c r="A308" s="13">
        <v>307</v>
      </c>
      <c r="B308" s="13" t="s">
        <v>591</v>
      </c>
      <c r="C308" s="13" t="s">
        <v>76</v>
      </c>
      <c r="D308" s="13" t="s">
        <v>941</v>
      </c>
      <c r="E308" s="3" t="s">
        <v>942</v>
      </c>
      <c r="F308" s="13" t="s">
        <v>920</v>
      </c>
      <c r="G308" s="13" t="s">
        <v>80</v>
      </c>
      <c r="H308" s="13">
        <v>0</v>
      </c>
      <c r="I308" s="13">
        <v>0</v>
      </c>
      <c r="J308" s="13" t="s">
        <v>943</v>
      </c>
      <c r="K308" s="13" t="s">
        <v>922</v>
      </c>
      <c r="L308" s="15" t="s">
        <v>32</v>
      </c>
      <c r="M308" s="15" t="s">
        <v>49</v>
      </c>
      <c r="N308" s="3"/>
    </row>
    <row r="309" spans="1:14" x14ac:dyDescent="0.35">
      <c r="A309" s="13">
        <v>308</v>
      </c>
      <c r="B309" s="13" t="s">
        <v>591</v>
      </c>
      <c r="C309" s="13" t="s">
        <v>76</v>
      </c>
      <c r="D309" s="13" t="s">
        <v>944</v>
      </c>
      <c r="E309" s="3" t="s">
        <v>945</v>
      </c>
      <c r="F309" s="13" t="s">
        <v>920</v>
      </c>
      <c r="G309" s="13" t="s">
        <v>80</v>
      </c>
      <c r="H309" s="13">
        <v>0</v>
      </c>
      <c r="I309" s="13">
        <v>0</v>
      </c>
      <c r="J309" s="13" t="s">
        <v>946</v>
      </c>
      <c r="K309" s="13" t="s">
        <v>922</v>
      </c>
      <c r="L309" s="15" t="s">
        <v>32</v>
      </c>
      <c r="M309" s="15" t="s">
        <v>49</v>
      </c>
      <c r="N309" s="3"/>
    </row>
    <row r="310" spans="1:14" x14ac:dyDescent="0.35">
      <c r="A310" s="13">
        <v>309</v>
      </c>
      <c r="B310" s="13" t="s">
        <v>591</v>
      </c>
      <c r="C310" s="13" t="s">
        <v>76</v>
      </c>
      <c r="D310" s="13" t="s">
        <v>947</v>
      </c>
      <c r="E310" s="3" t="s">
        <v>948</v>
      </c>
      <c r="F310" s="13" t="s">
        <v>920</v>
      </c>
      <c r="G310" s="13" t="s">
        <v>80</v>
      </c>
      <c r="H310" s="13">
        <v>0</v>
      </c>
      <c r="I310" s="13">
        <v>0</v>
      </c>
      <c r="J310" s="13" t="s">
        <v>949</v>
      </c>
      <c r="K310" s="13" t="s">
        <v>922</v>
      </c>
      <c r="L310" s="15" t="s">
        <v>32</v>
      </c>
      <c r="M310" s="15" t="s">
        <v>49</v>
      </c>
      <c r="N310" s="3"/>
    </row>
    <row r="311" spans="1:14" ht="25" x14ac:dyDescent="0.35">
      <c r="A311" s="13">
        <v>310</v>
      </c>
      <c r="B311" s="13" t="s">
        <v>828</v>
      </c>
      <c r="C311" s="13" t="s">
        <v>76</v>
      </c>
      <c r="D311" s="13" t="s">
        <v>588</v>
      </c>
      <c r="E311" s="3" t="s">
        <v>950</v>
      </c>
      <c r="F311" s="13" t="s">
        <v>920</v>
      </c>
      <c r="G311" s="13" t="s">
        <v>80</v>
      </c>
      <c r="H311" s="13">
        <v>0</v>
      </c>
      <c r="I311" s="13">
        <v>0</v>
      </c>
      <c r="J311" s="13" t="s">
        <v>951</v>
      </c>
      <c r="K311" s="13" t="s">
        <v>922</v>
      </c>
      <c r="L311" s="15" t="s">
        <v>28</v>
      </c>
      <c r="M311" s="15" t="s">
        <v>46</v>
      </c>
      <c r="N311" s="3"/>
    </row>
    <row r="312" spans="1:14" ht="25" x14ac:dyDescent="0.35">
      <c r="A312" s="13">
        <v>311</v>
      </c>
      <c r="B312" s="13" t="s">
        <v>75</v>
      </c>
      <c r="C312" s="13" t="s">
        <v>76</v>
      </c>
      <c r="D312" s="13" t="s">
        <v>952</v>
      </c>
      <c r="E312" s="3" t="s">
        <v>953</v>
      </c>
      <c r="F312" s="13" t="s">
        <v>954</v>
      </c>
      <c r="G312" s="13" t="s">
        <v>80</v>
      </c>
      <c r="H312" s="13">
        <v>0</v>
      </c>
      <c r="I312" s="13">
        <v>0</v>
      </c>
      <c r="J312" s="13" t="s">
        <v>955</v>
      </c>
      <c r="K312" s="13" t="s">
        <v>952</v>
      </c>
      <c r="L312" s="15" t="s">
        <v>36</v>
      </c>
      <c r="M312" s="15" t="s">
        <v>49</v>
      </c>
      <c r="N312" s="3"/>
    </row>
    <row r="313" spans="1:14" x14ac:dyDescent="0.35">
      <c r="A313" s="13">
        <v>312</v>
      </c>
      <c r="B313" s="13" t="s">
        <v>75</v>
      </c>
      <c r="C313" s="13" t="s">
        <v>76</v>
      </c>
      <c r="D313" s="13" t="s">
        <v>956</v>
      </c>
      <c r="E313" s="3" t="s">
        <v>957</v>
      </c>
      <c r="F313" s="13" t="s">
        <v>954</v>
      </c>
      <c r="G313" s="13" t="s">
        <v>80</v>
      </c>
      <c r="H313" s="13">
        <v>0</v>
      </c>
      <c r="I313" s="13">
        <v>0</v>
      </c>
      <c r="J313" s="13" t="s">
        <v>958</v>
      </c>
      <c r="K313" s="13" t="s">
        <v>952</v>
      </c>
      <c r="L313" s="15" t="s">
        <v>16</v>
      </c>
      <c r="M313" s="15" t="s">
        <v>49</v>
      </c>
      <c r="N313" s="3"/>
    </row>
    <row r="314" spans="1:14" x14ac:dyDescent="0.35">
      <c r="A314" s="13">
        <v>313</v>
      </c>
      <c r="B314" s="13" t="s">
        <v>75</v>
      </c>
      <c r="C314" s="13" t="s">
        <v>76</v>
      </c>
      <c r="D314" s="13" t="s">
        <v>959</v>
      </c>
      <c r="E314" s="3" t="s">
        <v>960</v>
      </c>
      <c r="F314" s="13" t="s">
        <v>954</v>
      </c>
      <c r="G314" s="13" t="s">
        <v>80</v>
      </c>
      <c r="H314" s="13">
        <v>1</v>
      </c>
      <c r="I314" s="13">
        <v>2</v>
      </c>
      <c r="J314" s="13" t="s">
        <v>961</v>
      </c>
      <c r="K314" s="13" t="s">
        <v>952</v>
      </c>
      <c r="L314" s="15" t="s">
        <v>16</v>
      </c>
      <c r="M314" s="15" t="s">
        <v>49</v>
      </c>
      <c r="N314" s="3"/>
    </row>
    <row r="315" spans="1:14" x14ac:dyDescent="0.35">
      <c r="A315" s="13">
        <v>314</v>
      </c>
      <c r="B315" s="13" t="s">
        <v>86</v>
      </c>
      <c r="C315" s="13" t="s">
        <v>76</v>
      </c>
      <c r="D315" s="13" t="s">
        <v>962</v>
      </c>
      <c r="E315" s="3" t="s">
        <v>963</v>
      </c>
      <c r="F315" s="13" t="s">
        <v>954</v>
      </c>
      <c r="G315" s="13" t="s">
        <v>80</v>
      </c>
      <c r="H315" s="13">
        <v>0</v>
      </c>
      <c r="I315" s="13">
        <v>0</v>
      </c>
      <c r="J315" s="13" t="s">
        <v>964</v>
      </c>
      <c r="K315" s="13" t="s">
        <v>952</v>
      </c>
      <c r="L315" s="15" t="s">
        <v>16</v>
      </c>
      <c r="M315" s="15" t="s">
        <v>49</v>
      </c>
      <c r="N315" s="3"/>
    </row>
    <row r="316" spans="1:14" ht="50" x14ac:dyDescent="0.35">
      <c r="A316" s="13">
        <v>315</v>
      </c>
      <c r="B316" s="13" t="s">
        <v>828</v>
      </c>
      <c r="C316" s="13" t="s">
        <v>76</v>
      </c>
      <c r="D316" s="13" t="s">
        <v>462</v>
      </c>
      <c r="E316" s="3" t="s">
        <v>965</v>
      </c>
      <c r="F316" s="13" t="s">
        <v>954</v>
      </c>
      <c r="G316" s="13" t="s">
        <v>84</v>
      </c>
      <c r="H316" s="13">
        <v>0</v>
      </c>
      <c r="I316" s="13">
        <v>0</v>
      </c>
      <c r="J316" s="13" t="s">
        <v>966</v>
      </c>
      <c r="K316" s="13" t="s">
        <v>952</v>
      </c>
      <c r="L316" s="15" t="s">
        <v>20</v>
      </c>
      <c r="M316" s="15" t="s">
        <v>49</v>
      </c>
      <c r="N316" s="3"/>
    </row>
    <row r="317" spans="1:14" x14ac:dyDescent="0.35">
      <c r="A317" s="13">
        <v>316</v>
      </c>
      <c r="B317" s="13" t="s">
        <v>838</v>
      </c>
      <c r="C317" s="13" t="s">
        <v>76</v>
      </c>
      <c r="D317" s="13" t="s">
        <v>967</v>
      </c>
      <c r="E317" s="3" t="s">
        <v>968</v>
      </c>
      <c r="F317" s="13" t="s">
        <v>954</v>
      </c>
      <c r="G317" s="13" t="s">
        <v>80</v>
      </c>
      <c r="H317" s="13">
        <v>1</v>
      </c>
      <c r="I317" s="13">
        <v>1</v>
      </c>
      <c r="J317" s="13" t="s">
        <v>969</v>
      </c>
      <c r="K317" s="13" t="s">
        <v>952</v>
      </c>
      <c r="L317" s="15" t="s">
        <v>16</v>
      </c>
      <c r="M317" s="15" t="s">
        <v>49</v>
      </c>
      <c r="N317" s="3"/>
    </row>
    <row r="318" spans="1:14" x14ac:dyDescent="0.35">
      <c r="A318" s="13">
        <v>317</v>
      </c>
      <c r="B318" s="13" t="s">
        <v>844</v>
      </c>
      <c r="C318" s="13" t="s">
        <v>76</v>
      </c>
      <c r="D318" s="13" t="s">
        <v>860</v>
      </c>
      <c r="E318" s="3" t="s">
        <v>970</v>
      </c>
      <c r="F318" s="13" t="s">
        <v>954</v>
      </c>
      <c r="G318" s="13" t="s">
        <v>80</v>
      </c>
      <c r="H318" s="13">
        <v>1</v>
      </c>
      <c r="I318" s="13">
        <v>1</v>
      </c>
      <c r="J318" s="13" t="s">
        <v>971</v>
      </c>
      <c r="K318" s="13" t="s">
        <v>952</v>
      </c>
      <c r="L318" s="15" t="s">
        <v>16</v>
      </c>
      <c r="M318" s="15" t="s">
        <v>49</v>
      </c>
      <c r="N318" s="3"/>
    </row>
    <row r="319" spans="1:14" x14ac:dyDescent="0.35">
      <c r="A319" s="13">
        <v>318</v>
      </c>
      <c r="B319" s="13" t="s">
        <v>851</v>
      </c>
      <c r="C319" s="13" t="s">
        <v>76</v>
      </c>
      <c r="D319" s="13" t="s">
        <v>972</v>
      </c>
      <c r="E319" s="3" t="s">
        <v>973</v>
      </c>
      <c r="F319" s="13" t="s">
        <v>954</v>
      </c>
      <c r="G319" s="13" t="s">
        <v>80</v>
      </c>
      <c r="H319" s="13">
        <v>0</v>
      </c>
      <c r="I319" s="13">
        <v>0</v>
      </c>
      <c r="J319" s="13" t="s">
        <v>974</v>
      </c>
      <c r="K319" s="13" t="s">
        <v>952</v>
      </c>
      <c r="L319" s="15" t="s">
        <v>16</v>
      </c>
      <c r="M319" s="15" t="s">
        <v>49</v>
      </c>
      <c r="N319" s="3"/>
    </row>
    <row r="320" spans="1:14" x14ac:dyDescent="0.35">
      <c r="A320" s="13">
        <v>319</v>
      </c>
      <c r="B320" s="13" t="s">
        <v>851</v>
      </c>
      <c r="C320" s="13" t="s">
        <v>76</v>
      </c>
      <c r="D320" s="13" t="s">
        <v>952</v>
      </c>
      <c r="E320" s="3" t="s">
        <v>975</v>
      </c>
      <c r="F320" s="13" t="s">
        <v>954</v>
      </c>
      <c r="G320" s="13" t="s">
        <v>84</v>
      </c>
      <c r="H320" s="13">
        <v>0</v>
      </c>
      <c r="I320" s="13">
        <v>0</v>
      </c>
      <c r="J320" s="13" t="s">
        <v>976</v>
      </c>
      <c r="K320" s="13" t="s">
        <v>952</v>
      </c>
      <c r="L320" s="15" t="s">
        <v>20</v>
      </c>
      <c r="M320" s="15" t="s">
        <v>49</v>
      </c>
      <c r="N320" s="3"/>
    </row>
    <row r="321" spans="1:14" x14ac:dyDescent="0.35">
      <c r="A321" s="13">
        <v>320</v>
      </c>
      <c r="B321" s="13" t="s">
        <v>851</v>
      </c>
      <c r="C321" s="13" t="s">
        <v>76</v>
      </c>
      <c r="D321" s="13" t="s">
        <v>952</v>
      </c>
      <c r="E321" s="3" t="s">
        <v>977</v>
      </c>
      <c r="F321" s="13" t="s">
        <v>954</v>
      </c>
      <c r="G321" s="13" t="s">
        <v>84</v>
      </c>
      <c r="H321" s="13">
        <v>0</v>
      </c>
      <c r="I321" s="13">
        <v>0</v>
      </c>
      <c r="J321" s="13" t="s">
        <v>978</v>
      </c>
      <c r="K321" s="13" t="s">
        <v>952</v>
      </c>
      <c r="L321" s="15" t="s">
        <v>36</v>
      </c>
      <c r="M321" s="15" t="s">
        <v>49</v>
      </c>
      <c r="N321" s="3"/>
    </row>
    <row r="322" spans="1:14" x14ac:dyDescent="0.35">
      <c r="A322" s="13">
        <v>321</v>
      </c>
      <c r="B322" s="13" t="s">
        <v>851</v>
      </c>
      <c r="C322" s="13" t="s">
        <v>76</v>
      </c>
      <c r="D322" s="13" t="s">
        <v>952</v>
      </c>
      <c r="E322" s="3" t="s">
        <v>979</v>
      </c>
      <c r="F322" s="13" t="s">
        <v>954</v>
      </c>
      <c r="G322" s="13" t="s">
        <v>84</v>
      </c>
      <c r="H322" s="13">
        <v>1</v>
      </c>
      <c r="I322" s="13">
        <v>0</v>
      </c>
      <c r="J322" s="13" t="s">
        <v>980</v>
      </c>
      <c r="K322" s="13" t="s">
        <v>952</v>
      </c>
      <c r="L322" s="15" t="s">
        <v>20</v>
      </c>
      <c r="M322" s="15" t="s">
        <v>49</v>
      </c>
      <c r="N322" s="3"/>
    </row>
    <row r="323" spans="1:14" ht="25" x14ac:dyDescent="0.35">
      <c r="A323" s="13">
        <v>322</v>
      </c>
      <c r="B323" s="13" t="s">
        <v>828</v>
      </c>
      <c r="C323" s="13" t="s">
        <v>76</v>
      </c>
      <c r="D323" s="13" t="s">
        <v>468</v>
      </c>
      <c r="E323" s="3" t="s">
        <v>981</v>
      </c>
      <c r="F323" s="13" t="s">
        <v>982</v>
      </c>
      <c r="G323" s="13" t="s">
        <v>80</v>
      </c>
      <c r="H323" s="13">
        <v>0</v>
      </c>
      <c r="I323" s="13">
        <v>0</v>
      </c>
      <c r="J323" s="13" t="s">
        <v>983</v>
      </c>
      <c r="K323" s="13" t="s">
        <v>468</v>
      </c>
      <c r="L323" s="15" t="s">
        <v>36</v>
      </c>
      <c r="M323" s="15" t="s">
        <v>49</v>
      </c>
      <c r="N323" s="3"/>
    </row>
    <row r="324" spans="1:14" x14ac:dyDescent="0.35">
      <c r="A324" s="13">
        <v>323</v>
      </c>
      <c r="B324" s="13" t="s">
        <v>828</v>
      </c>
      <c r="C324" s="13" t="s">
        <v>76</v>
      </c>
      <c r="D324" s="13" t="s">
        <v>468</v>
      </c>
      <c r="E324" s="3" t="s">
        <v>984</v>
      </c>
      <c r="F324" s="13" t="s">
        <v>982</v>
      </c>
      <c r="G324" s="13" t="s">
        <v>80</v>
      </c>
      <c r="H324" s="13">
        <v>1</v>
      </c>
      <c r="I324" s="13">
        <v>0</v>
      </c>
      <c r="J324" s="13" t="s">
        <v>985</v>
      </c>
      <c r="K324" s="13" t="s">
        <v>468</v>
      </c>
      <c r="L324" s="15" t="s">
        <v>32</v>
      </c>
      <c r="M324" s="15" t="s">
        <v>49</v>
      </c>
      <c r="N324" s="3"/>
    </row>
    <row r="325" spans="1:14" ht="25" x14ac:dyDescent="0.35">
      <c r="A325" s="13">
        <v>324</v>
      </c>
      <c r="B325" s="13" t="s">
        <v>828</v>
      </c>
      <c r="C325" s="13" t="s">
        <v>76</v>
      </c>
      <c r="D325" s="13" t="s">
        <v>986</v>
      </c>
      <c r="E325" s="3" t="s">
        <v>987</v>
      </c>
      <c r="F325" s="13" t="s">
        <v>982</v>
      </c>
      <c r="G325" s="13" t="s">
        <v>80</v>
      </c>
      <c r="H325" s="13">
        <v>3</v>
      </c>
      <c r="I325" s="13">
        <v>3</v>
      </c>
      <c r="J325" s="13" t="s">
        <v>988</v>
      </c>
      <c r="K325" s="13" t="s">
        <v>468</v>
      </c>
      <c r="L325" s="15" t="s">
        <v>16</v>
      </c>
      <c r="M325" s="15" t="s">
        <v>49</v>
      </c>
      <c r="N325" s="3"/>
    </row>
    <row r="326" spans="1:14" ht="62.5" x14ac:dyDescent="0.35">
      <c r="A326" s="13">
        <v>325</v>
      </c>
      <c r="B326" s="13" t="s">
        <v>828</v>
      </c>
      <c r="C326" s="13" t="s">
        <v>76</v>
      </c>
      <c r="D326" s="13" t="s">
        <v>468</v>
      </c>
      <c r="E326" s="3" t="s">
        <v>989</v>
      </c>
      <c r="F326" s="13" t="s">
        <v>982</v>
      </c>
      <c r="G326" s="13" t="s">
        <v>84</v>
      </c>
      <c r="H326" s="13">
        <v>1</v>
      </c>
      <c r="I326" s="13">
        <v>2</v>
      </c>
      <c r="J326" s="13" t="s">
        <v>990</v>
      </c>
      <c r="K326" s="13" t="s">
        <v>468</v>
      </c>
      <c r="L326" s="15" t="s">
        <v>20</v>
      </c>
      <c r="M326" s="15" t="s">
        <v>49</v>
      </c>
      <c r="N326" s="3"/>
    </row>
    <row r="327" spans="1:14" ht="37.5" x14ac:dyDescent="0.35">
      <c r="A327" s="13">
        <v>326</v>
      </c>
      <c r="B327" s="13" t="s">
        <v>828</v>
      </c>
      <c r="C327" s="13" t="s">
        <v>76</v>
      </c>
      <c r="D327" s="13" t="s">
        <v>468</v>
      </c>
      <c r="E327" s="3" t="s">
        <v>991</v>
      </c>
      <c r="F327" s="13" t="s">
        <v>982</v>
      </c>
      <c r="G327" s="13" t="s">
        <v>84</v>
      </c>
      <c r="H327" s="13">
        <v>1</v>
      </c>
      <c r="I327" s="13">
        <v>0</v>
      </c>
      <c r="J327" s="13" t="s">
        <v>992</v>
      </c>
      <c r="K327" s="13" t="s">
        <v>468</v>
      </c>
      <c r="L327" s="15" t="s">
        <v>20</v>
      </c>
      <c r="M327" s="15" t="s">
        <v>49</v>
      </c>
      <c r="N327" s="3"/>
    </row>
    <row r="328" spans="1:14" ht="25" x14ac:dyDescent="0.35">
      <c r="A328" s="13">
        <v>327</v>
      </c>
      <c r="B328" s="13" t="s">
        <v>86</v>
      </c>
      <c r="C328" s="13" t="s">
        <v>76</v>
      </c>
      <c r="D328" s="13" t="s">
        <v>993</v>
      </c>
      <c r="E328" s="3" t="s">
        <v>994</v>
      </c>
      <c r="F328" s="13" t="s">
        <v>995</v>
      </c>
      <c r="G328" s="13" t="s">
        <v>80</v>
      </c>
      <c r="H328" s="13">
        <v>0</v>
      </c>
      <c r="I328" s="13">
        <v>0</v>
      </c>
      <c r="J328" s="13" t="s">
        <v>996</v>
      </c>
      <c r="K328" s="13" t="s">
        <v>993</v>
      </c>
      <c r="L328" s="15" t="s">
        <v>36</v>
      </c>
      <c r="M328" s="15" t="s">
        <v>49</v>
      </c>
      <c r="N328" s="3"/>
    </row>
    <row r="329" spans="1:14" x14ac:dyDescent="0.35">
      <c r="A329" s="13">
        <v>328</v>
      </c>
      <c r="B329" s="13" t="s">
        <v>86</v>
      </c>
      <c r="C329" s="13" t="s">
        <v>76</v>
      </c>
      <c r="D329" s="13" t="s">
        <v>997</v>
      </c>
      <c r="E329" s="3" t="s">
        <v>998</v>
      </c>
      <c r="F329" s="13" t="s">
        <v>995</v>
      </c>
      <c r="G329" s="13" t="s">
        <v>80</v>
      </c>
      <c r="H329" s="13">
        <v>0</v>
      </c>
      <c r="I329" s="13">
        <v>3</v>
      </c>
      <c r="J329" s="13" t="s">
        <v>999</v>
      </c>
      <c r="K329" s="13" t="s">
        <v>993</v>
      </c>
      <c r="L329" s="15" t="s">
        <v>16</v>
      </c>
      <c r="M329" s="15" t="s">
        <v>49</v>
      </c>
      <c r="N329" s="3"/>
    </row>
    <row r="330" spans="1:14" x14ac:dyDescent="0.35">
      <c r="A330" s="13">
        <v>329</v>
      </c>
      <c r="B330" s="13" t="s">
        <v>86</v>
      </c>
      <c r="C330" s="13" t="s">
        <v>76</v>
      </c>
      <c r="D330" s="13" t="s">
        <v>1000</v>
      </c>
      <c r="E330" s="3" t="s">
        <v>1001</v>
      </c>
      <c r="F330" s="13" t="s">
        <v>995</v>
      </c>
      <c r="G330" s="13" t="s">
        <v>80</v>
      </c>
      <c r="H330" s="13">
        <v>0</v>
      </c>
      <c r="I330" s="13">
        <v>3</v>
      </c>
      <c r="J330" s="13" t="s">
        <v>1002</v>
      </c>
      <c r="K330" s="13" t="s">
        <v>993</v>
      </c>
      <c r="L330" s="15" t="s">
        <v>16</v>
      </c>
      <c r="M330" s="15" t="s">
        <v>49</v>
      </c>
      <c r="N330" s="3"/>
    </row>
    <row r="331" spans="1:14" ht="50" x14ac:dyDescent="0.35">
      <c r="A331" s="13">
        <v>330</v>
      </c>
      <c r="B331" s="13" t="s">
        <v>86</v>
      </c>
      <c r="C331" s="13" t="s">
        <v>76</v>
      </c>
      <c r="D331" s="13" t="s">
        <v>993</v>
      </c>
      <c r="E331" s="3" t="s">
        <v>1003</v>
      </c>
      <c r="F331" s="13" t="s">
        <v>995</v>
      </c>
      <c r="G331" s="13" t="s">
        <v>84</v>
      </c>
      <c r="H331" s="13">
        <v>0</v>
      </c>
      <c r="I331" s="13">
        <v>2</v>
      </c>
      <c r="J331" s="13" t="s">
        <v>1004</v>
      </c>
      <c r="K331" s="13" t="s">
        <v>993</v>
      </c>
      <c r="L331" s="15" t="s">
        <v>16</v>
      </c>
      <c r="M331" s="15" t="s">
        <v>49</v>
      </c>
      <c r="N331" s="3"/>
    </row>
    <row r="332" spans="1:14" ht="87.5" x14ac:dyDescent="0.35">
      <c r="A332" s="13">
        <v>331</v>
      </c>
      <c r="B332" s="13" t="s">
        <v>86</v>
      </c>
      <c r="C332" s="13" t="s">
        <v>76</v>
      </c>
      <c r="D332" s="13" t="s">
        <v>993</v>
      </c>
      <c r="E332" s="3" t="s">
        <v>1005</v>
      </c>
      <c r="F332" s="13" t="s">
        <v>995</v>
      </c>
      <c r="G332" s="13" t="s">
        <v>84</v>
      </c>
      <c r="H332" s="13">
        <v>0</v>
      </c>
      <c r="I332" s="13">
        <v>2</v>
      </c>
      <c r="J332" s="13" t="s">
        <v>1006</v>
      </c>
      <c r="K332" s="13" t="s">
        <v>993</v>
      </c>
      <c r="L332" s="15" t="s">
        <v>20</v>
      </c>
      <c r="M332" s="15" t="s">
        <v>49</v>
      </c>
      <c r="N332" s="3"/>
    </row>
    <row r="333" spans="1:14" ht="25" x14ac:dyDescent="0.35">
      <c r="A333" s="13">
        <v>332</v>
      </c>
      <c r="B333" s="13" t="s">
        <v>86</v>
      </c>
      <c r="C333" s="13" t="s">
        <v>76</v>
      </c>
      <c r="D333" s="13" t="s">
        <v>1000</v>
      </c>
      <c r="E333" s="3" t="s">
        <v>1007</v>
      </c>
      <c r="F333" s="13" t="s">
        <v>995</v>
      </c>
      <c r="G333" s="13" t="s">
        <v>84</v>
      </c>
      <c r="H333" s="13">
        <v>0</v>
      </c>
      <c r="I333" s="13">
        <v>0</v>
      </c>
      <c r="J333" s="13" t="s">
        <v>1008</v>
      </c>
      <c r="K333" s="13" t="s">
        <v>993</v>
      </c>
      <c r="L333" s="15" t="s">
        <v>24</v>
      </c>
      <c r="M333" s="15" t="s">
        <v>46</v>
      </c>
      <c r="N333" s="3"/>
    </row>
    <row r="334" spans="1:14" x14ac:dyDescent="0.35">
      <c r="A334" s="13">
        <v>333</v>
      </c>
      <c r="B334" s="13" t="s">
        <v>86</v>
      </c>
      <c r="C334" s="13" t="s">
        <v>76</v>
      </c>
      <c r="D334" s="13" t="s">
        <v>997</v>
      </c>
      <c r="E334" s="3" t="s">
        <v>1009</v>
      </c>
      <c r="F334" s="13" t="s">
        <v>995</v>
      </c>
      <c r="G334" s="13" t="s">
        <v>84</v>
      </c>
      <c r="H334" s="13">
        <v>1</v>
      </c>
      <c r="I334" s="13">
        <v>0</v>
      </c>
      <c r="J334" s="13" t="s">
        <v>1010</v>
      </c>
      <c r="K334" s="13" t="s">
        <v>993</v>
      </c>
      <c r="L334" s="15" t="s">
        <v>32</v>
      </c>
      <c r="M334" s="15" t="s">
        <v>49</v>
      </c>
      <c r="N334" s="3"/>
    </row>
    <row r="335" spans="1:14" ht="25" x14ac:dyDescent="0.35">
      <c r="A335" s="13">
        <v>334</v>
      </c>
      <c r="B335" s="13" t="s">
        <v>86</v>
      </c>
      <c r="C335" s="13" t="s">
        <v>76</v>
      </c>
      <c r="D335" s="13" t="s">
        <v>572</v>
      </c>
      <c r="E335" s="3" t="s">
        <v>1011</v>
      </c>
      <c r="F335" s="13" t="s">
        <v>995</v>
      </c>
      <c r="G335" s="13" t="s">
        <v>80</v>
      </c>
      <c r="H335" s="13">
        <v>3</v>
      </c>
      <c r="I335" s="13">
        <v>3</v>
      </c>
      <c r="J335" s="13" t="s">
        <v>1012</v>
      </c>
      <c r="K335" s="13" t="s">
        <v>993</v>
      </c>
      <c r="L335" s="15" t="s">
        <v>16</v>
      </c>
      <c r="M335" s="15" t="s">
        <v>49</v>
      </c>
      <c r="N335" s="3"/>
    </row>
    <row r="336" spans="1:14" x14ac:dyDescent="0.35">
      <c r="A336" s="13">
        <v>335</v>
      </c>
      <c r="B336" s="13" t="s">
        <v>86</v>
      </c>
      <c r="C336" s="13" t="s">
        <v>76</v>
      </c>
      <c r="D336" s="13" t="s">
        <v>403</v>
      </c>
      <c r="E336" s="3" t="s">
        <v>1013</v>
      </c>
      <c r="F336" s="13" t="s">
        <v>995</v>
      </c>
      <c r="G336" s="13" t="s">
        <v>80</v>
      </c>
      <c r="H336" s="13">
        <v>1</v>
      </c>
      <c r="I336" s="13">
        <v>0</v>
      </c>
      <c r="J336" s="13" t="s">
        <v>1014</v>
      </c>
      <c r="K336" s="13" t="s">
        <v>993</v>
      </c>
      <c r="L336" s="15" t="s">
        <v>20</v>
      </c>
      <c r="M336" s="15" t="s">
        <v>46</v>
      </c>
      <c r="N336" s="3"/>
    </row>
    <row r="337" spans="1:14" ht="37.5" x14ac:dyDescent="0.35">
      <c r="A337" s="13">
        <v>336</v>
      </c>
      <c r="B337" s="13" t="s">
        <v>591</v>
      </c>
      <c r="C337" s="13" t="s">
        <v>76</v>
      </c>
      <c r="D337" s="13" t="s">
        <v>1015</v>
      </c>
      <c r="E337" s="3" t="s">
        <v>1016</v>
      </c>
      <c r="F337" s="13" t="s">
        <v>995</v>
      </c>
      <c r="G337" s="13" t="s">
        <v>80</v>
      </c>
      <c r="H337" s="13">
        <v>1</v>
      </c>
      <c r="I337" s="13">
        <v>1</v>
      </c>
      <c r="J337" s="13" t="s">
        <v>1017</v>
      </c>
      <c r="K337" s="13" t="s">
        <v>993</v>
      </c>
      <c r="L337" s="15" t="s">
        <v>12</v>
      </c>
      <c r="M337" s="15" t="s">
        <v>43</v>
      </c>
      <c r="N337" s="3"/>
    </row>
    <row r="338" spans="1:14" x14ac:dyDescent="0.35">
      <c r="A338" s="13">
        <v>337</v>
      </c>
      <c r="B338" s="13" t="s">
        <v>591</v>
      </c>
      <c r="C338" s="13" t="s">
        <v>76</v>
      </c>
      <c r="D338" s="13" t="s">
        <v>1018</v>
      </c>
      <c r="E338" s="3" t="s">
        <v>1019</v>
      </c>
      <c r="F338" s="13" t="s">
        <v>995</v>
      </c>
      <c r="G338" s="13" t="s">
        <v>80</v>
      </c>
      <c r="H338" s="13">
        <v>1</v>
      </c>
      <c r="I338" s="13">
        <v>1</v>
      </c>
      <c r="J338" s="13" t="s">
        <v>1020</v>
      </c>
      <c r="K338" s="13" t="s">
        <v>993</v>
      </c>
      <c r="L338" s="15" t="s">
        <v>12</v>
      </c>
      <c r="M338" s="15" t="s">
        <v>43</v>
      </c>
      <c r="N338" s="3"/>
    </row>
    <row r="339" spans="1:14" x14ac:dyDescent="0.35">
      <c r="A339" s="13">
        <v>338</v>
      </c>
      <c r="B339" s="13" t="s">
        <v>591</v>
      </c>
      <c r="C339" s="13" t="s">
        <v>76</v>
      </c>
      <c r="D339" s="13" t="s">
        <v>993</v>
      </c>
      <c r="E339" s="3" t="s">
        <v>1021</v>
      </c>
      <c r="F339" s="13" t="s">
        <v>995</v>
      </c>
      <c r="G339" s="13" t="s">
        <v>84</v>
      </c>
      <c r="H339" s="13">
        <v>0</v>
      </c>
      <c r="I339" s="13">
        <v>0</v>
      </c>
      <c r="J339" s="13" t="s">
        <v>1022</v>
      </c>
      <c r="K339" s="13" t="s">
        <v>993</v>
      </c>
      <c r="L339" s="15" t="s">
        <v>12</v>
      </c>
      <c r="M339" s="15" t="s">
        <v>49</v>
      </c>
      <c r="N339" s="3"/>
    </row>
    <row r="340" spans="1:14" x14ac:dyDescent="0.35">
      <c r="A340" s="13">
        <v>339</v>
      </c>
      <c r="B340" s="13" t="s">
        <v>591</v>
      </c>
      <c r="C340" s="13" t="s">
        <v>76</v>
      </c>
      <c r="D340" s="13" t="s">
        <v>993</v>
      </c>
      <c r="E340" s="3" t="s">
        <v>1023</v>
      </c>
      <c r="F340" s="13" t="s">
        <v>995</v>
      </c>
      <c r="G340" s="13" t="s">
        <v>84</v>
      </c>
      <c r="H340" s="13">
        <v>0</v>
      </c>
      <c r="I340" s="13">
        <v>0</v>
      </c>
      <c r="J340" s="13" t="s">
        <v>1024</v>
      </c>
      <c r="K340" s="13" t="s">
        <v>993</v>
      </c>
      <c r="L340" s="15" t="s">
        <v>32</v>
      </c>
      <c r="M340" s="15" t="s">
        <v>49</v>
      </c>
      <c r="N340" s="3"/>
    </row>
    <row r="341" spans="1:14" x14ac:dyDescent="0.35">
      <c r="A341" s="13">
        <v>340</v>
      </c>
      <c r="B341" s="13" t="s">
        <v>591</v>
      </c>
      <c r="C341" s="13" t="s">
        <v>76</v>
      </c>
      <c r="D341" s="13" t="s">
        <v>993</v>
      </c>
      <c r="E341" s="3" t="s">
        <v>1025</v>
      </c>
      <c r="F341" s="13" t="s">
        <v>995</v>
      </c>
      <c r="G341" s="13" t="s">
        <v>84</v>
      </c>
      <c r="H341" s="13">
        <v>0</v>
      </c>
      <c r="I341" s="13">
        <v>0</v>
      </c>
      <c r="J341" s="13" t="s">
        <v>1026</v>
      </c>
      <c r="K341" s="13" t="s">
        <v>993</v>
      </c>
      <c r="L341" s="15" t="s">
        <v>32</v>
      </c>
      <c r="M341" s="15" t="s">
        <v>49</v>
      </c>
      <c r="N341" s="3"/>
    </row>
    <row r="342" spans="1:14" x14ac:dyDescent="0.35">
      <c r="A342" s="13">
        <v>341</v>
      </c>
      <c r="B342" s="13" t="s">
        <v>591</v>
      </c>
      <c r="C342" s="13" t="s">
        <v>76</v>
      </c>
      <c r="D342" s="13" t="s">
        <v>646</v>
      </c>
      <c r="E342" s="3" t="s">
        <v>1027</v>
      </c>
      <c r="F342" s="13" t="s">
        <v>995</v>
      </c>
      <c r="G342" s="13" t="s">
        <v>80</v>
      </c>
      <c r="H342" s="13">
        <v>1</v>
      </c>
      <c r="I342" s="13">
        <v>0</v>
      </c>
      <c r="J342" s="13" t="s">
        <v>1028</v>
      </c>
      <c r="K342" s="13" t="s">
        <v>993</v>
      </c>
      <c r="L342" s="15" t="s">
        <v>20</v>
      </c>
      <c r="M342" s="15" t="s">
        <v>49</v>
      </c>
      <c r="N342" s="3"/>
    </row>
    <row r="343" spans="1:14" x14ac:dyDescent="0.35">
      <c r="A343" s="13">
        <v>342</v>
      </c>
      <c r="B343" s="13" t="s">
        <v>591</v>
      </c>
      <c r="C343" s="13" t="s">
        <v>76</v>
      </c>
      <c r="D343" s="13" t="s">
        <v>686</v>
      </c>
      <c r="E343" s="3" t="s">
        <v>1029</v>
      </c>
      <c r="F343" s="13" t="s">
        <v>995</v>
      </c>
      <c r="G343" s="13" t="s">
        <v>80</v>
      </c>
      <c r="H343" s="13">
        <v>0</v>
      </c>
      <c r="I343" s="13">
        <v>0</v>
      </c>
      <c r="J343" s="13" t="s">
        <v>1030</v>
      </c>
      <c r="K343" s="13" t="s">
        <v>993</v>
      </c>
      <c r="L343" s="15" t="s">
        <v>16</v>
      </c>
      <c r="M343" s="15" t="s">
        <v>49</v>
      </c>
      <c r="N343" s="3"/>
    </row>
    <row r="344" spans="1:14" ht="37.5" x14ac:dyDescent="0.35">
      <c r="A344" s="13">
        <v>343</v>
      </c>
      <c r="B344" s="13" t="s">
        <v>591</v>
      </c>
      <c r="C344" s="13" t="s">
        <v>76</v>
      </c>
      <c r="D344" s="13" t="s">
        <v>1031</v>
      </c>
      <c r="E344" s="3" t="s">
        <v>1032</v>
      </c>
      <c r="F344" s="13" t="s">
        <v>995</v>
      </c>
      <c r="G344" s="13" t="s">
        <v>84</v>
      </c>
      <c r="H344" s="13">
        <v>1</v>
      </c>
      <c r="I344" s="13">
        <v>0</v>
      </c>
      <c r="J344" s="13" t="s">
        <v>1033</v>
      </c>
      <c r="K344" s="13" t="s">
        <v>993</v>
      </c>
      <c r="L344" s="15" t="s">
        <v>20</v>
      </c>
      <c r="M344" s="15" t="s">
        <v>49</v>
      </c>
      <c r="N344" s="3"/>
    </row>
    <row r="345" spans="1:14" ht="37.5" x14ac:dyDescent="0.35">
      <c r="A345" s="13">
        <v>344</v>
      </c>
      <c r="B345" s="13" t="s">
        <v>591</v>
      </c>
      <c r="C345" s="13" t="s">
        <v>76</v>
      </c>
      <c r="D345" s="13" t="s">
        <v>254</v>
      </c>
      <c r="E345" s="3" t="s">
        <v>1034</v>
      </c>
      <c r="F345" s="13" t="s">
        <v>995</v>
      </c>
      <c r="G345" s="13" t="s">
        <v>84</v>
      </c>
      <c r="H345" s="13">
        <v>2</v>
      </c>
      <c r="I345" s="13">
        <v>1</v>
      </c>
      <c r="J345" s="13" t="s">
        <v>1035</v>
      </c>
      <c r="K345" s="13" t="s">
        <v>993</v>
      </c>
      <c r="L345" s="15" t="s">
        <v>36</v>
      </c>
      <c r="M345" s="15" t="s">
        <v>49</v>
      </c>
      <c r="N345" s="3"/>
    </row>
    <row r="346" spans="1:14" ht="25" x14ac:dyDescent="0.35">
      <c r="A346" s="13">
        <v>345</v>
      </c>
      <c r="B346" s="13" t="s">
        <v>591</v>
      </c>
      <c r="C346" s="13" t="s">
        <v>76</v>
      </c>
      <c r="D346" s="13" t="s">
        <v>572</v>
      </c>
      <c r="E346" s="3" t="s">
        <v>1036</v>
      </c>
      <c r="F346" s="13" t="s">
        <v>995</v>
      </c>
      <c r="G346" s="13" t="s">
        <v>84</v>
      </c>
      <c r="H346" s="13">
        <v>1</v>
      </c>
      <c r="I346" s="13">
        <v>0</v>
      </c>
      <c r="J346" s="13" t="s">
        <v>1037</v>
      </c>
      <c r="K346" s="13" t="s">
        <v>993</v>
      </c>
      <c r="L346" s="15" t="s">
        <v>36</v>
      </c>
      <c r="M346" s="15" t="s">
        <v>49</v>
      </c>
      <c r="N346" s="3"/>
    </row>
    <row r="347" spans="1:14" x14ac:dyDescent="0.35">
      <c r="A347" s="13">
        <v>346</v>
      </c>
      <c r="B347" s="13" t="s">
        <v>758</v>
      </c>
      <c r="C347" s="13" t="s">
        <v>76</v>
      </c>
      <c r="D347" s="13" t="s">
        <v>540</v>
      </c>
      <c r="E347" s="3" t="s">
        <v>1038</v>
      </c>
      <c r="F347" s="13" t="s">
        <v>995</v>
      </c>
      <c r="G347" s="13" t="s">
        <v>84</v>
      </c>
      <c r="H347" s="13">
        <v>0</v>
      </c>
      <c r="I347" s="13">
        <v>0</v>
      </c>
      <c r="J347" s="13" t="s">
        <v>1039</v>
      </c>
      <c r="K347" s="13" t="s">
        <v>993</v>
      </c>
      <c r="L347" s="15" t="s">
        <v>36</v>
      </c>
      <c r="M347" s="15" t="s">
        <v>49</v>
      </c>
      <c r="N347" s="3"/>
    </row>
    <row r="348" spans="1:14" ht="25" x14ac:dyDescent="0.35">
      <c r="A348" s="13">
        <v>347</v>
      </c>
      <c r="B348" s="13" t="s">
        <v>758</v>
      </c>
      <c r="C348" s="13" t="s">
        <v>76</v>
      </c>
      <c r="D348" s="13" t="s">
        <v>572</v>
      </c>
      <c r="E348" s="3" t="s">
        <v>1040</v>
      </c>
      <c r="F348" s="13" t="s">
        <v>995</v>
      </c>
      <c r="G348" s="13" t="s">
        <v>80</v>
      </c>
      <c r="H348" s="13">
        <v>0</v>
      </c>
      <c r="I348" s="13">
        <v>0</v>
      </c>
      <c r="J348" s="13" t="s">
        <v>1041</v>
      </c>
      <c r="K348" s="13" t="s">
        <v>993</v>
      </c>
      <c r="L348" s="15" t="s">
        <v>24</v>
      </c>
      <c r="M348" s="15" t="s">
        <v>46</v>
      </c>
      <c r="N348" s="3"/>
    </row>
    <row r="349" spans="1:14" x14ac:dyDescent="0.35">
      <c r="A349" s="13">
        <v>348</v>
      </c>
      <c r="B349" s="13" t="s">
        <v>75</v>
      </c>
      <c r="C349" s="13" t="s">
        <v>76</v>
      </c>
      <c r="D349" s="13" t="s">
        <v>1042</v>
      </c>
      <c r="E349" s="3" t="s">
        <v>1043</v>
      </c>
      <c r="F349" s="13" t="s">
        <v>1044</v>
      </c>
      <c r="G349" s="13" t="s">
        <v>80</v>
      </c>
      <c r="H349" s="13">
        <v>1</v>
      </c>
      <c r="I349" s="13">
        <v>4</v>
      </c>
      <c r="J349" s="13" t="s">
        <v>1045</v>
      </c>
      <c r="K349" s="13" t="s">
        <v>1046</v>
      </c>
      <c r="L349" s="15" t="s">
        <v>8</v>
      </c>
      <c r="M349" s="15" t="s">
        <v>43</v>
      </c>
      <c r="N349" s="3"/>
    </row>
    <row r="350" spans="1:14" ht="62.5" x14ac:dyDescent="0.35">
      <c r="A350" s="13">
        <v>349</v>
      </c>
      <c r="B350" s="13" t="s">
        <v>75</v>
      </c>
      <c r="C350" s="13" t="s">
        <v>76</v>
      </c>
      <c r="D350" s="13" t="s">
        <v>1047</v>
      </c>
      <c r="E350" s="3" t="s">
        <v>1048</v>
      </c>
      <c r="F350" s="13" t="s">
        <v>1044</v>
      </c>
      <c r="G350" s="13" t="s">
        <v>80</v>
      </c>
      <c r="H350" s="13">
        <v>2</v>
      </c>
      <c r="I350" s="13">
        <v>0</v>
      </c>
      <c r="J350" s="13" t="s">
        <v>1049</v>
      </c>
      <c r="K350" s="13" t="s">
        <v>1046</v>
      </c>
      <c r="L350" s="15" t="s">
        <v>28</v>
      </c>
      <c r="M350" s="15" t="s">
        <v>49</v>
      </c>
      <c r="N350" s="3"/>
    </row>
    <row r="351" spans="1:14" x14ac:dyDescent="0.35">
      <c r="A351" s="13">
        <v>350</v>
      </c>
      <c r="B351" s="13" t="s">
        <v>75</v>
      </c>
      <c r="C351" s="13" t="s">
        <v>76</v>
      </c>
      <c r="D351" s="13" t="s">
        <v>1050</v>
      </c>
      <c r="E351" s="3" t="s">
        <v>1051</v>
      </c>
      <c r="F351" s="13" t="s">
        <v>1044</v>
      </c>
      <c r="G351" s="13" t="s">
        <v>80</v>
      </c>
      <c r="H351" s="13">
        <v>1</v>
      </c>
      <c r="I351" s="13">
        <v>0</v>
      </c>
      <c r="J351" s="13" t="s">
        <v>1052</v>
      </c>
      <c r="K351" s="13" t="s">
        <v>1046</v>
      </c>
      <c r="L351" s="15" t="s">
        <v>28</v>
      </c>
      <c r="M351" s="15" t="s">
        <v>49</v>
      </c>
      <c r="N351" s="3"/>
    </row>
    <row r="352" spans="1:14" x14ac:dyDescent="0.35">
      <c r="A352" s="13">
        <v>351</v>
      </c>
      <c r="B352" s="13" t="s">
        <v>86</v>
      </c>
      <c r="C352" s="13" t="s">
        <v>76</v>
      </c>
      <c r="D352" s="13" t="s">
        <v>1053</v>
      </c>
      <c r="E352" s="3" t="s">
        <v>1054</v>
      </c>
      <c r="F352" s="13" t="s">
        <v>1044</v>
      </c>
      <c r="G352" s="13" t="s">
        <v>80</v>
      </c>
      <c r="H352" s="13">
        <v>0</v>
      </c>
      <c r="I352" s="13">
        <v>0</v>
      </c>
      <c r="J352" s="13" t="s">
        <v>1055</v>
      </c>
      <c r="K352" s="13" t="s">
        <v>1046</v>
      </c>
      <c r="L352" s="15" t="s">
        <v>12</v>
      </c>
      <c r="M352" s="15" t="s">
        <v>43</v>
      </c>
      <c r="N352" s="3"/>
    </row>
    <row r="353" spans="1:14" ht="62.5" x14ac:dyDescent="0.35">
      <c r="A353" s="13">
        <v>352</v>
      </c>
      <c r="B353" s="13" t="s">
        <v>86</v>
      </c>
      <c r="C353" s="13" t="s">
        <v>76</v>
      </c>
      <c r="D353" s="13" t="s">
        <v>1056</v>
      </c>
      <c r="E353" s="3" t="s">
        <v>1057</v>
      </c>
      <c r="F353" s="13" t="s">
        <v>1044</v>
      </c>
      <c r="G353" s="13" t="s">
        <v>80</v>
      </c>
      <c r="H353" s="13">
        <v>1</v>
      </c>
      <c r="I353" s="13">
        <v>0</v>
      </c>
      <c r="J353" s="13" t="s">
        <v>1058</v>
      </c>
      <c r="K353" s="13" t="s">
        <v>1046</v>
      </c>
      <c r="L353" s="15" t="s">
        <v>28</v>
      </c>
      <c r="M353" s="15" t="s">
        <v>49</v>
      </c>
      <c r="N353" s="3"/>
    </row>
    <row r="354" spans="1:14" x14ac:dyDescent="0.35">
      <c r="A354" s="13">
        <v>353</v>
      </c>
      <c r="B354" s="13" t="s">
        <v>591</v>
      </c>
      <c r="C354" s="13" t="s">
        <v>76</v>
      </c>
      <c r="D354" s="13" t="s">
        <v>185</v>
      </c>
      <c r="E354" s="3" t="s">
        <v>1059</v>
      </c>
      <c r="F354" s="13" t="s">
        <v>1044</v>
      </c>
      <c r="G354" s="13" t="s">
        <v>84</v>
      </c>
      <c r="H354" s="13">
        <v>0</v>
      </c>
      <c r="I354" s="13">
        <v>3</v>
      </c>
      <c r="J354" s="13" t="s">
        <v>1060</v>
      </c>
      <c r="K354" s="13" t="s">
        <v>1046</v>
      </c>
      <c r="L354" s="15" t="s">
        <v>12</v>
      </c>
      <c r="M354" s="15" t="s">
        <v>43</v>
      </c>
      <c r="N354" s="3"/>
    </row>
    <row r="355" spans="1:14" x14ac:dyDescent="0.35">
      <c r="A355" s="13">
        <v>354</v>
      </c>
      <c r="B355" s="13" t="s">
        <v>591</v>
      </c>
      <c r="C355" s="13" t="s">
        <v>76</v>
      </c>
      <c r="D355" s="13" t="s">
        <v>1042</v>
      </c>
      <c r="E355" s="3" t="s">
        <v>1061</v>
      </c>
      <c r="F355" s="13" t="s">
        <v>1044</v>
      </c>
      <c r="G355" s="13" t="s">
        <v>84</v>
      </c>
      <c r="H355" s="13">
        <v>0</v>
      </c>
      <c r="I355" s="13">
        <v>0</v>
      </c>
      <c r="J355" s="13" t="s">
        <v>1062</v>
      </c>
      <c r="K355" s="13" t="s">
        <v>1046</v>
      </c>
      <c r="L355" s="15" t="s">
        <v>32</v>
      </c>
      <c r="M355" s="15" t="s">
        <v>49</v>
      </c>
      <c r="N355" s="3"/>
    </row>
    <row r="356" spans="1:14" x14ac:dyDescent="0.35">
      <c r="A356" s="13">
        <v>355</v>
      </c>
      <c r="B356" s="13" t="s">
        <v>591</v>
      </c>
      <c r="C356" s="13" t="s">
        <v>76</v>
      </c>
      <c r="D356" s="13" t="s">
        <v>185</v>
      </c>
      <c r="E356" s="3" t="s">
        <v>1063</v>
      </c>
      <c r="F356" s="13" t="s">
        <v>1044</v>
      </c>
      <c r="G356" s="13" t="s">
        <v>84</v>
      </c>
      <c r="H356" s="13">
        <v>0</v>
      </c>
      <c r="I356" s="13">
        <v>0</v>
      </c>
      <c r="J356" s="13" t="s">
        <v>1064</v>
      </c>
      <c r="K356" s="13" t="s">
        <v>1046</v>
      </c>
      <c r="L356" s="15" t="s">
        <v>32</v>
      </c>
      <c r="M356" s="15" t="s">
        <v>49</v>
      </c>
      <c r="N356" s="3"/>
    </row>
    <row r="357" spans="1:14" x14ac:dyDescent="0.35">
      <c r="A357" s="13">
        <v>356</v>
      </c>
      <c r="B357" s="13" t="s">
        <v>591</v>
      </c>
      <c r="C357" s="13" t="s">
        <v>76</v>
      </c>
      <c r="D357" s="13" t="s">
        <v>1042</v>
      </c>
      <c r="E357" s="3" t="s">
        <v>1065</v>
      </c>
      <c r="F357" s="13" t="s">
        <v>1044</v>
      </c>
      <c r="G357" s="13" t="s">
        <v>84</v>
      </c>
      <c r="H357" s="13">
        <v>0</v>
      </c>
      <c r="I357" s="13">
        <v>0</v>
      </c>
      <c r="J357" s="13" t="s">
        <v>1066</v>
      </c>
      <c r="K357" s="13" t="s">
        <v>1046</v>
      </c>
      <c r="L357" s="15" t="s">
        <v>28</v>
      </c>
      <c r="M357" s="15" t="s">
        <v>49</v>
      </c>
      <c r="N357" s="3"/>
    </row>
    <row r="358" spans="1:14" ht="62.5" x14ac:dyDescent="0.35">
      <c r="A358" s="13">
        <v>357</v>
      </c>
      <c r="B358" s="13" t="s">
        <v>591</v>
      </c>
      <c r="C358" s="13" t="s">
        <v>76</v>
      </c>
      <c r="D358" s="13" t="s">
        <v>1067</v>
      </c>
      <c r="E358" s="3" t="s">
        <v>1068</v>
      </c>
      <c r="F358" s="13" t="s">
        <v>1044</v>
      </c>
      <c r="G358" s="13" t="s">
        <v>80</v>
      </c>
      <c r="H358" s="13">
        <v>0</v>
      </c>
      <c r="I358" s="13">
        <v>0</v>
      </c>
      <c r="J358" s="13" t="s">
        <v>1069</v>
      </c>
      <c r="K358" s="13" t="s">
        <v>1046</v>
      </c>
      <c r="L358" s="15" t="s">
        <v>24</v>
      </c>
      <c r="M358" s="15" t="s">
        <v>46</v>
      </c>
      <c r="N358" s="3"/>
    </row>
    <row r="359" spans="1:14" x14ac:dyDescent="0.35">
      <c r="A359" s="13">
        <v>358</v>
      </c>
      <c r="B359" s="13" t="s">
        <v>838</v>
      </c>
      <c r="C359" s="13" t="s">
        <v>76</v>
      </c>
      <c r="D359" s="13" t="s">
        <v>1070</v>
      </c>
      <c r="E359" s="3" t="s">
        <v>468</v>
      </c>
      <c r="F359" s="13" t="s">
        <v>1071</v>
      </c>
      <c r="G359" s="13" t="s">
        <v>80</v>
      </c>
      <c r="H359" s="13">
        <v>0</v>
      </c>
      <c r="I359" s="13">
        <v>0</v>
      </c>
      <c r="J359" s="13" t="s">
        <v>1072</v>
      </c>
      <c r="K359" s="13" t="s">
        <v>1073</v>
      </c>
      <c r="L359" s="15" t="s">
        <v>36</v>
      </c>
      <c r="M359" s="15" t="s">
        <v>49</v>
      </c>
      <c r="N359" s="3"/>
    </row>
    <row r="360" spans="1:14" x14ac:dyDescent="0.35">
      <c r="A360" s="13">
        <v>359</v>
      </c>
      <c r="B360" s="13" t="s">
        <v>838</v>
      </c>
      <c r="C360" s="13" t="s">
        <v>76</v>
      </c>
      <c r="D360" s="13" t="s">
        <v>1070</v>
      </c>
      <c r="E360" s="3" t="s">
        <v>1074</v>
      </c>
      <c r="F360" s="13" t="s">
        <v>1071</v>
      </c>
      <c r="G360" s="13" t="s">
        <v>80</v>
      </c>
      <c r="H360" s="13">
        <v>0</v>
      </c>
      <c r="I360" s="13">
        <v>0</v>
      </c>
      <c r="J360" s="13" t="s">
        <v>1075</v>
      </c>
      <c r="K360" s="13" t="s">
        <v>1073</v>
      </c>
      <c r="L360" s="15" t="s">
        <v>36</v>
      </c>
      <c r="M360" s="15" t="s">
        <v>49</v>
      </c>
      <c r="N360" s="3"/>
    </row>
    <row r="361" spans="1:14" x14ac:dyDescent="0.35">
      <c r="A361" s="13">
        <v>360</v>
      </c>
      <c r="B361" s="13" t="s">
        <v>838</v>
      </c>
      <c r="C361" s="13" t="s">
        <v>76</v>
      </c>
      <c r="D361" s="13" t="s">
        <v>350</v>
      </c>
      <c r="E361" s="3" t="s">
        <v>1076</v>
      </c>
      <c r="F361" s="13" t="s">
        <v>1071</v>
      </c>
      <c r="G361" s="13" t="s">
        <v>80</v>
      </c>
      <c r="H361" s="13">
        <v>1</v>
      </c>
      <c r="I361" s="13">
        <v>3</v>
      </c>
      <c r="J361" s="13" t="s">
        <v>1077</v>
      </c>
      <c r="K361" s="13" t="s">
        <v>1073</v>
      </c>
      <c r="L361" s="15" t="s">
        <v>24</v>
      </c>
      <c r="M361" s="15" t="s">
        <v>46</v>
      </c>
      <c r="N361" s="3"/>
    </row>
    <row r="362" spans="1:14" x14ac:dyDescent="0.35">
      <c r="A362" s="13">
        <v>361</v>
      </c>
      <c r="B362" s="13" t="s">
        <v>844</v>
      </c>
      <c r="C362" s="13" t="s">
        <v>76</v>
      </c>
      <c r="D362" s="13" t="s">
        <v>1078</v>
      </c>
      <c r="E362" s="3" t="s">
        <v>1079</v>
      </c>
      <c r="F362" s="13" t="s">
        <v>1071</v>
      </c>
      <c r="G362" s="13" t="s">
        <v>80</v>
      </c>
      <c r="H362" s="13">
        <v>0</v>
      </c>
      <c r="I362" s="13">
        <v>0</v>
      </c>
      <c r="J362" s="13" t="s">
        <v>1080</v>
      </c>
      <c r="K362" s="13" t="s">
        <v>1073</v>
      </c>
      <c r="L362" s="15" t="s">
        <v>16</v>
      </c>
      <c r="M362" s="15" t="s">
        <v>49</v>
      </c>
      <c r="N362" s="3"/>
    </row>
    <row r="363" spans="1:14" ht="50" x14ac:dyDescent="0.35">
      <c r="A363" s="13">
        <v>362</v>
      </c>
      <c r="B363" s="13" t="s">
        <v>844</v>
      </c>
      <c r="C363" s="13" t="s">
        <v>76</v>
      </c>
      <c r="D363" s="13" t="s">
        <v>1081</v>
      </c>
      <c r="E363" s="3" t="s">
        <v>1082</v>
      </c>
      <c r="F363" s="13" t="s">
        <v>1071</v>
      </c>
      <c r="G363" s="13" t="s">
        <v>80</v>
      </c>
      <c r="H363" s="13">
        <v>1</v>
      </c>
      <c r="I363" s="13">
        <v>3</v>
      </c>
      <c r="J363" s="13" t="s">
        <v>1083</v>
      </c>
      <c r="K363" s="13" t="s">
        <v>1073</v>
      </c>
      <c r="L363" s="15" t="s">
        <v>20</v>
      </c>
      <c r="M363" s="15" t="s">
        <v>49</v>
      </c>
      <c r="N363" s="3"/>
    </row>
    <row r="364" spans="1:14" x14ac:dyDescent="0.35">
      <c r="A364" s="13">
        <v>363</v>
      </c>
      <c r="B364" s="13" t="s">
        <v>844</v>
      </c>
      <c r="C364" s="13" t="s">
        <v>76</v>
      </c>
      <c r="D364" s="13" t="s">
        <v>1084</v>
      </c>
      <c r="E364" s="3" t="s">
        <v>1085</v>
      </c>
      <c r="F364" s="13" t="s">
        <v>1071</v>
      </c>
      <c r="G364" s="13" t="s">
        <v>80</v>
      </c>
      <c r="H364" s="13">
        <v>0</v>
      </c>
      <c r="I364" s="13">
        <v>1</v>
      </c>
      <c r="J364" s="13" t="s">
        <v>1086</v>
      </c>
      <c r="K364" s="13" t="s">
        <v>1073</v>
      </c>
      <c r="L364" s="15" t="s">
        <v>24</v>
      </c>
      <c r="M364" s="15" t="s">
        <v>46</v>
      </c>
      <c r="N364" s="3"/>
    </row>
    <row r="365" spans="1:14" ht="50" x14ac:dyDescent="0.35">
      <c r="A365" s="13">
        <v>364</v>
      </c>
      <c r="B365" s="13" t="s">
        <v>844</v>
      </c>
      <c r="C365" s="13" t="s">
        <v>76</v>
      </c>
      <c r="D365" s="13" t="s">
        <v>1087</v>
      </c>
      <c r="E365" s="3" t="s">
        <v>1088</v>
      </c>
      <c r="F365" s="13" t="s">
        <v>1071</v>
      </c>
      <c r="G365" s="13" t="s">
        <v>80</v>
      </c>
      <c r="H365" s="13">
        <v>0</v>
      </c>
      <c r="I365" s="13">
        <v>0</v>
      </c>
      <c r="J365" s="13" t="s">
        <v>1089</v>
      </c>
      <c r="K365" s="13" t="s">
        <v>1073</v>
      </c>
      <c r="L365" s="15" t="s">
        <v>20</v>
      </c>
      <c r="M365" s="15" t="s">
        <v>49</v>
      </c>
      <c r="N365" s="3"/>
    </row>
    <row r="366" spans="1:14" ht="37.5" x14ac:dyDescent="0.35">
      <c r="A366" s="13">
        <v>365</v>
      </c>
      <c r="B366" s="13" t="s">
        <v>844</v>
      </c>
      <c r="C366" s="13" t="s">
        <v>76</v>
      </c>
      <c r="D366" s="13" t="s">
        <v>1087</v>
      </c>
      <c r="E366" s="3" t="s">
        <v>1090</v>
      </c>
      <c r="F366" s="13" t="s">
        <v>1071</v>
      </c>
      <c r="G366" s="13" t="s">
        <v>84</v>
      </c>
      <c r="H366" s="13">
        <v>0</v>
      </c>
      <c r="I366" s="13">
        <v>0</v>
      </c>
      <c r="J366" s="13" t="s">
        <v>1091</v>
      </c>
      <c r="K366" s="13" t="s">
        <v>1073</v>
      </c>
      <c r="L366" s="15" t="s">
        <v>20</v>
      </c>
      <c r="M366" s="15" t="s">
        <v>49</v>
      </c>
      <c r="N366" s="3"/>
    </row>
    <row r="367" spans="1:14" x14ac:dyDescent="0.35">
      <c r="A367" s="13">
        <v>366</v>
      </c>
      <c r="B367" s="13" t="s">
        <v>844</v>
      </c>
      <c r="C367" s="13" t="s">
        <v>76</v>
      </c>
      <c r="D367" s="13" t="s">
        <v>1092</v>
      </c>
      <c r="E367" s="3" t="s">
        <v>1093</v>
      </c>
      <c r="F367" s="13" t="s">
        <v>1071</v>
      </c>
      <c r="G367" s="13" t="s">
        <v>80</v>
      </c>
      <c r="H367" s="13">
        <v>0</v>
      </c>
      <c r="I367" s="13">
        <v>0</v>
      </c>
      <c r="J367" s="13" t="s">
        <v>1094</v>
      </c>
      <c r="K367" s="13" t="s">
        <v>1073</v>
      </c>
      <c r="L367" s="15" t="s">
        <v>20</v>
      </c>
      <c r="M367" s="15" t="s">
        <v>49</v>
      </c>
      <c r="N367" s="3"/>
    </row>
    <row r="368" spans="1:14" ht="37.5" x14ac:dyDescent="0.35">
      <c r="A368" s="13">
        <v>367</v>
      </c>
      <c r="B368" s="13" t="s">
        <v>844</v>
      </c>
      <c r="C368" s="13" t="s">
        <v>76</v>
      </c>
      <c r="D368" s="13" t="s">
        <v>1095</v>
      </c>
      <c r="E368" s="3" t="s">
        <v>1096</v>
      </c>
      <c r="F368" s="13" t="s">
        <v>1071</v>
      </c>
      <c r="G368" s="13" t="s">
        <v>84</v>
      </c>
      <c r="H368" s="13">
        <v>1</v>
      </c>
      <c r="I368" s="13">
        <v>2</v>
      </c>
      <c r="J368" s="13" t="s">
        <v>1097</v>
      </c>
      <c r="K368" s="13" t="s">
        <v>1073</v>
      </c>
      <c r="L368" s="15" t="s">
        <v>24</v>
      </c>
      <c r="M368" s="15" t="s">
        <v>46</v>
      </c>
      <c r="N368" s="3"/>
    </row>
    <row r="369" spans="1:14" ht="25" x14ac:dyDescent="0.35">
      <c r="A369" s="13">
        <v>368</v>
      </c>
      <c r="B369" s="13" t="s">
        <v>844</v>
      </c>
      <c r="C369" s="13" t="s">
        <v>76</v>
      </c>
      <c r="D369" s="13" t="s">
        <v>1095</v>
      </c>
      <c r="E369" s="3" t="s">
        <v>1098</v>
      </c>
      <c r="F369" s="13" t="s">
        <v>1071</v>
      </c>
      <c r="G369" s="13" t="s">
        <v>84</v>
      </c>
      <c r="H369" s="13">
        <v>0</v>
      </c>
      <c r="I369" s="13">
        <v>2</v>
      </c>
      <c r="J369" s="13" t="s">
        <v>1099</v>
      </c>
      <c r="K369" s="13" t="s">
        <v>1073</v>
      </c>
      <c r="L369" s="15" t="s">
        <v>32</v>
      </c>
      <c r="M369" s="15" t="s">
        <v>49</v>
      </c>
      <c r="N369" s="3"/>
    </row>
    <row r="370" spans="1:14" ht="25" x14ac:dyDescent="0.35">
      <c r="A370" s="13">
        <v>369</v>
      </c>
      <c r="B370" s="13" t="s">
        <v>844</v>
      </c>
      <c r="C370" s="13" t="s">
        <v>76</v>
      </c>
      <c r="D370" s="13" t="s">
        <v>350</v>
      </c>
      <c r="E370" s="3" t="s">
        <v>1100</v>
      </c>
      <c r="F370" s="13" t="s">
        <v>1071</v>
      </c>
      <c r="G370" s="13" t="s">
        <v>84</v>
      </c>
      <c r="H370" s="13">
        <v>1</v>
      </c>
      <c r="I370" s="13">
        <v>0</v>
      </c>
      <c r="J370" s="13" t="s">
        <v>1101</v>
      </c>
      <c r="K370" s="13" t="s">
        <v>1073</v>
      </c>
      <c r="L370" s="15" t="s">
        <v>24</v>
      </c>
      <c r="M370" s="15" t="s">
        <v>46</v>
      </c>
      <c r="N370" s="3"/>
    </row>
    <row r="371" spans="1:14" ht="50" x14ac:dyDescent="0.35">
      <c r="A371" s="13">
        <v>370</v>
      </c>
      <c r="B371" s="13" t="s">
        <v>844</v>
      </c>
      <c r="C371" s="13" t="s">
        <v>76</v>
      </c>
      <c r="D371" s="13" t="s">
        <v>947</v>
      </c>
      <c r="E371" s="3" t="s">
        <v>1102</v>
      </c>
      <c r="F371" s="13" t="s">
        <v>1071</v>
      </c>
      <c r="G371" s="13" t="s">
        <v>80</v>
      </c>
      <c r="H371" s="13">
        <v>0</v>
      </c>
      <c r="I371" s="13">
        <v>0</v>
      </c>
      <c r="J371" s="13" t="s">
        <v>1103</v>
      </c>
      <c r="K371" s="13" t="s">
        <v>1073</v>
      </c>
      <c r="L371" s="15" t="s">
        <v>24</v>
      </c>
      <c r="M371" s="15" t="s">
        <v>46</v>
      </c>
      <c r="N371" s="3"/>
    </row>
    <row r="372" spans="1:14" x14ac:dyDescent="0.35">
      <c r="A372" s="13">
        <v>371</v>
      </c>
      <c r="B372" s="13" t="s">
        <v>844</v>
      </c>
      <c r="C372" s="13" t="s">
        <v>76</v>
      </c>
      <c r="D372" s="13" t="s">
        <v>1104</v>
      </c>
      <c r="E372" s="3" t="s">
        <v>1105</v>
      </c>
      <c r="F372" s="13" t="s">
        <v>1071</v>
      </c>
      <c r="G372" s="13" t="s">
        <v>80</v>
      </c>
      <c r="H372" s="13">
        <v>0</v>
      </c>
      <c r="I372" s="13">
        <v>0</v>
      </c>
      <c r="J372" s="13" t="s">
        <v>1106</v>
      </c>
      <c r="K372" s="13" t="s">
        <v>1073</v>
      </c>
      <c r="L372" s="15" t="s">
        <v>24</v>
      </c>
      <c r="M372" s="15" t="s">
        <v>46</v>
      </c>
      <c r="N372" s="3"/>
    </row>
    <row r="373" spans="1:14" ht="62.5" x14ac:dyDescent="0.35">
      <c r="A373" s="13">
        <v>372</v>
      </c>
      <c r="B373" s="13" t="s">
        <v>844</v>
      </c>
      <c r="C373" s="13" t="s">
        <v>76</v>
      </c>
      <c r="D373" s="13" t="s">
        <v>1081</v>
      </c>
      <c r="E373" s="3" t="s">
        <v>1107</v>
      </c>
      <c r="F373" s="13" t="s">
        <v>1071</v>
      </c>
      <c r="G373" s="13" t="s">
        <v>84</v>
      </c>
      <c r="H373" s="13">
        <v>0</v>
      </c>
      <c r="I373" s="13">
        <v>0</v>
      </c>
      <c r="J373" s="13" t="s">
        <v>1108</v>
      </c>
      <c r="K373" s="13" t="s">
        <v>1073</v>
      </c>
      <c r="L373" s="15" t="s">
        <v>20</v>
      </c>
      <c r="M373" s="15" t="s">
        <v>49</v>
      </c>
      <c r="N373" s="3"/>
    </row>
    <row r="374" spans="1:14" ht="37.5" x14ac:dyDescent="0.35">
      <c r="A374" s="13">
        <v>373</v>
      </c>
      <c r="B374" s="13" t="s">
        <v>844</v>
      </c>
      <c r="C374" s="13" t="s">
        <v>76</v>
      </c>
      <c r="D374" s="13" t="s">
        <v>1095</v>
      </c>
      <c r="E374" s="3" t="s">
        <v>1109</v>
      </c>
      <c r="F374" s="13" t="s">
        <v>1071</v>
      </c>
      <c r="G374" s="13" t="s">
        <v>84</v>
      </c>
      <c r="H374" s="13">
        <v>0</v>
      </c>
      <c r="I374" s="13">
        <v>0</v>
      </c>
      <c r="J374" s="13" t="s">
        <v>1110</v>
      </c>
      <c r="K374" s="13" t="s">
        <v>1073</v>
      </c>
      <c r="L374" s="15" t="s">
        <v>24</v>
      </c>
      <c r="M374" s="15" t="s">
        <v>46</v>
      </c>
      <c r="N374" s="3"/>
    </row>
    <row r="375" spans="1:14" ht="25" x14ac:dyDescent="0.35">
      <c r="A375" s="13">
        <v>374</v>
      </c>
      <c r="B375" s="13" t="s">
        <v>844</v>
      </c>
      <c r="C375" s="13" t="s">
        <v>76</v>
      </c>
      <c r="D375" s="13" t="s">
        <v>1095</v>
      </c>
      <c r="E375" s="3" t="s">
        <v>1111</v>
      </c>
      <c r="F375" s="13" t="s">
        <v>1071</v>
      </c>
      <c r="G375" s="13" t="s">
        <v>84</v>
      </c>
      <c r="H375" s="13">
        <v>0</v>
      </c>
      <c r="I375" s="13">
        <v>0</v>
      </c>
      <c r="J375" s="13" t="s">
        <v>1112</v>
      </c>
      <c r="K375" s="13" t="s">
        <v>1073</v>
      </c>
      <c r="L375" s="15" t="s">
        <v>20</v>
      </c>
      <c r="M375" s="15" t="s">
        <v>49</v>
      </c>
      <c r="N375" s="3"/>
    </row>
    <row r="376" spans="1:14" ht="25" x14ac:dyDescent="0.35">
      <c r="A376" s="13">
        <v>375</v>
      </c>
      <c r="B376" s="13" t="s">
        <v>851</v>
      </c>
      <c r="C376" s="13" t="s">
        <v>76</v>
      </c>
      <c r="D376" s="13" t="s">
        <v>462</v>
      </c>
      <c r="E376" s="3" t="s">
        <v>1113</v>
      </c>
      <c r="F376" s="13" t="s">
        <v>1071</v>
      </c>
      <c r="G376" s="13" t="s">
        <v>84</v>
      </c>
      <c r="H376" s="13">
        <v>0</v>
      </c>
      <c r="I376" s="13">
        <v>0</v>
      </c>
      <c r="J376" s="13" t="s">
        <v>1114</v>
      </c>
      <c r="K376" s="13" t="s">
        <v>1073</v>
      </c>
      <c r="L376" s="15" t="s">
        <v>20</v>
      </c>
      <c r="M376" s="15" t="s">
        <v>49</v>
      </c>
      <c r="N376" s="3"/>
    </row>
    <row r="377" spans="1:14" ht="25" x14ac:dyDescent="0.35">
      <c r="A377" s="13">
        <v>376</v>
      </c>
      <c r="B377" s="13" t="s">
        <v>851</v>
      </c>
      <c r="C377" s="13" t="s">
        <v>76</v>
      </c>
      <c r="D377" s="13" t="s">
        <v>462</v>
      </c>
      <c r="E377" s="3" t="s">
        <v>1115</v>
      </c>
      <c r="F377" s="13" t="s">
        <v>1071</v>
      </c>
      <c r="G377" s="13" t="s">
        <v>84</v>
      </c>
      <c r="H377" s="13">
        <v>0</v>
      </c>
      <c r="I377" s="13">
        <v>1</v>
      </c>
      <c r="J377" s="13" t="s">
        <v>1116</v>
      </c>
      <c r="K377" s="13" t="s">
        <v>1073</v>
      </c>
      <c r="L377" s="15" t="s">
        <v>20</v>
      </c>
      <c r="M377" s="15" t="s">
        <v>49</v>
      </c>
      <c r="N377" s="3"/>
    </row>
    <row r="378" spans="1:14" ht="37.5" x14ac:dyDescent="0.35">
      <c r="A378" s="13">
        <v>377</v>
      </c>
      <c r="B378" s="13" t="s">
        <v>851</v>
      </c>
      <c r="C378" s="13" t="s">
        <v>76</v>
      </c>
      <c r="D378" s="13" t="s">
        <v>350</v>
      </c>
      <c r="E378" s="3" t="s">
        <v>1117</v>
      </c>
      <c r="F378" s="13" t="s">
        <v>1071</v>
      </c>
      <c r="G378" s="13" t="s">
        <v>84</v>
      </c>
      <c r="H378" s="13">
        <v>0</v>
      </c>
      <c r="I378" s="13">
        <v>0</v>
      </c>
      <c r="J378" s="13" t="s">
        <v>1118</v>
      </c>
      <c r="K378" s="13" t="s">
        <v>1073</v>
      </c>
      <c r="L378" s="15" t="s">
        <v>36</v>
      </c>
      <c r="M378" s="15" t="s">
        <v>49</v>
      </c>
      <c r="N378" s="3"/>
    </row>
    <row r="379" spans="1:14" ht="25" x14ac:dyDescent="0.35">
      <c r="A379" s="13">
        <v>378</v>
      </c>
      <c r="B379" s="13" t="s">
        <v>851</v>
      </c>
      <c r="C379" s="13" t="s">
        <v>76</v>
      </c>
      <c r="D379" s="13" t="s">
        <v>350</v>
      </c>
      <c r="E379" s="3" t="s">
        <v>1119</v>
      </c>
      <c r="F379" s="13" t="s">
        <v>1071</v>
      </c>
      <c r="G379" s="13" t="s">
        <v>84</v>
      </c>
      <c r="H379" s="13">
        <v>0</v>
      </c>
      <c r="I379" s="13">
        <v>0</v>
      </c>
      <c r="J379" s="13" t="s">
        <v>1120</v>
      </c>
      <c r="K379" s="13" t="s">
        <v>1073</v>
      </c>
      <c r="L379" s="15" t="s">
        <v>24</v>
      </c>
      <c r="M379" s="15" t="s">
        <v>46</v>
      </c>
      <c r="N379" s="3"/>
    </row>
    <row r="380" spans="1:14" ht="37.5" x14ac:dyDescent="0.35">
      <c r="A380" s="13">
        <v>379</v>
      </c>
      <c r="B380" s="13" t="s">
        <v>851</v>
      </c>
      <c r="C380" s="13" t="s">
        <v>76</v>
      </c>
      <c r="D380" s="13" t="s">
        <v>1081</v>
      </c>
      <c r="E380" s="3" t="s">
        <v>1121</v>
      </c>
      <c r="F380" s="13" t="s">
        <v>1071</v>
      </c>
      <c r="G380" s="13" t="s">
        <v>84</v>
      </c>
      <c r="H380" s="13">
        <v>0</v>
      </c>
      <c r="I380" s="13">
        <v>0</v>
      </c>
      <c r="J380" s="13" t="s">
        <v>1122</v>
      </c>
      <c r="K380" s="13" t="s">
        <v>1073</v>
      </c>
      <c r="L380" s="15" t="s">
        <v>20</v>
      </c>
      <c r="M380" s="15" t="s">
        <v>49</v>
      </c>
      <c r="N380" s="3"/>
    </row>
    <row r="381" spans="1:14" x14ac:dyDescent="0.35">
      <c r="A381" s="13">
        <v>380</v>
      </c>
      <c r="B381" s="13" t="s">
        <v>75</v>
      </c>
      <c r="C381" s="13" t="s">
        <v>76</v>
      </c>
      <c r="D381" s="13" t="s">
        <v>1123</v>
      </c>
      <c r="E381" s="3" t="s">
        <v>1124</v>
      </c>
      <c r="F381" s="13" t="s">
        <v>1125</v>
      </c>
      <c r="G381" s="13" t="s">
        <v>80</v>
      </c>
      <c r="H381" s="13">
        <v>0</v>
      </c>
      <c r="I381" s="13">
        <v>6</v>
      </c>
      <c r="J381" s="13" t="s">
        <v>1126</v>
      </c>
      <c r="K381" s="13" t="s">
        <v>1127</v>
      </c>
      <c r="L381" s="15" t="s">
        <v>16</v>
      </c>
      <c r="M381" s="15" t="s">
        <v>49</v>
      </c>
      <c r="N381" s="3"/>
    </row>
    <row r="382" spans="1:14" x14ac:dyDescent="0.35">
      <c r="A382" s="13">
        <v>381</v>
      </c>
      <c r="B382" s="13" t="s">
        <v>75</v>
      </c>
      <c r="C382" s="13" t="s">
        <v>76</v>
      </c>
      <c r="D382" s="13" t="s">
        <v>1127</v>
      </c>
      <c r="E382" s="3" t="s">
        <v>1128</v>
      </c>
      <c r="F382" s="13" t="s">
        <v>1125</v>
      </c>
      <c r="G382" s="13" t="s">
        <v>84</v>
      </c>
      <c r="H382" s="13">
        <v>1</v>
      </c>
      <c r="I382" s="13">
        <v>5</v>
      </c>
      <c r="J382" s="13" t="s">
        <v>1129</v>
      </c>
      <c r="K382" s="13" t="s">
        <v>1127</v>
      </c>
      <c r="L382" s="15" t="s">
        <v>32</v>
      </c>
      <c r="M382" s="15" t="s">
        <v>49</v>
      </c>
      <c r="N382" s="3"/>
    </row>
    <row r="383" spans="1:14" x14ac:dyDescent="0.35">
      <c r="A383" s="13">
        <v>382</v>
      </c>
      <c r="B383" s="13" t="s">
        <v>75</v>
      </c>
      <c r="C383" s="13" t="s">
        <v>76</v>
      </c>
      <c r="D383" s="13" t="s">
        <v>1123</v>
      </c>
      <c r="E383" s="3" t="s">
        <v>1130</v>
      </c>
      <c r="F383" s="13" t="s">
        <v>1125</v>
      </c>
      <c r="G383" s="13" t="s">
        <v>84</v>
      </c>
      <c r="H383" s="13">
        <v>0</v>
      </c>
      <c r="I383" s="13">
        <v>0</v>
      </c>
      <c r="J383" s="13" t="s">
        <v>1131</v>
      </c>
      <c r="K383" s="13" t="s">
        <v>1127</v>
      </c>
      <c r="L383" s="15" t="s">
        <v>20</v>
      </c>
      <c r="M383" s="15" t="s">
        <v>49</v>
      </c>
      <c r="N383" s="3"/>
    </row>
    <row r="384" spans="1:14" x14ac:dyDescent="0.35">
      <c r="A384" s="13">
        <v>383</v>
      </c>
      <c r="B384" s="13" t="s">
        <v>75</v>
      </c>
      <c r="C384" s="13" t="s">
        <v>76</v>
      </c>
      <c r="D384" s="13" t="s">
        <v>1127</v>
      </c>
      <c r="E384" s="3" t="s">
        <v>1132</v>
      </c>
      <c r="F384" s="13" t="s">
        <v>1125</v>
      </c>
      <c r="G384" s="13" t="s">
        <v>84</v>
      </c>
      <c r="H384" s="13">
        <v>1</v>
      </c>
      <c r="I384" s="13">
        <v>0</v>
      </c>
      <c r="J384" s="13" t="s">
        <v>1133</v>
      </c>
      <c r="K384" s="13" t="s">
        <v>1127</v>
      </c>
      <c r="L384" s="15" t="s">
        <v>36</v>
      </c>
      <c r="M384" s="15" t="s">
        <v>49</v>
      </c>
      <c r="N384" s="3"/>
    </row>
    <row r="385" spans="1:14" x14ac:dyDescent="0.35">
      <c r="A385" s="13">
        <v>384</v>
      </c>
      <c r="B385" s="13" t="s">
        <v>75</v>
      </c>
      <c r="C385" s="13" t="s">
        <v>76</v>
      </c>
      <c r="D385" s="13" t="s">
        <v>1123</v>
      </c>
      <c r="E385" s="3" t="s">
        <v>1134</v>
      </c>
      <c r="F385" s="13" t="s">
        <v>1125</v>
      </c>
      <c r="G385" s="13" t="s">
        <v>84</v>
      </c>
      <c r="H385" s="13">
        <v>0</v>
      </c>
      <c r="I385" s="13">
        <v>0</v>
      </c>
      <c r="J385" s="13" t="s">
        <v>1135</v>
      </c>
      <c r="K385" s="13" t="s">
        <v>1127</v>
      </c>
      <c r="L385" s="15" t="s">
        <v>32</v>
      </c>
      <c r="M385" s="15" t="s">
        <v>49</v>
      </c>
      <c r="N385" s="3"/>
    </row>
    <row r="386" spans="1:14" x14ac:dyDescent="0.35">
      <c r="A386" s="13">
        <v>385</v>
      </c>
      <c r="B386" s="13" t="s">
        <v>75</v>
      </c>
      <c r="C386" s="13" t="s">
        <v>76</v>
      </c>
      <c r="D386" s="13" t="s">
        <v>1136</v>
      </c>
      <c r="E386" s="3" t="s">
        <v>1137</v>
      </c>
      <c r="F386" s="13" t="s">
        <v>1125</v>
      </c>
      <c r="G386" s="13" t="s">
        <v>84</v>
      </c>
      <c r="H386" s="13">
        <v>1</v>
      </c>
      <c r="I386" s="13">
        <v>0</v>
      </c>
      <c r="J386" s="13" t="s">
        <v>1138</v>
      </c>
      <c r="K386" s="13" t="s">
        <v>1127</v>
      </c>
      <c r="L386" s="15" t="s">
        <v>32</v>
      </c>
      <c r="M386" s="15" t="s">
        <v>49</v>
      </c>
      <c r="N386" s="3"/>
    </row>
    <row r="387" spans="1:14" x14ac:dyDescent="0.35">
      <c r="A387" s="13">
        <v>386</v>
      </c>
      <c r="B387" s="13" t="s">
        <v>75</v>
      </c>
      <c r="C387" s="13" t="s">
        <v>76</v>
      </c>
      <c r="D387" s="13" t="s">
        <v>1123</v>
      </c>
      <c r="E387" s="3" t="s">
        <v>1139</v>
      </c>
      <c r="F387" s="13" t="s">
        <v>1125</v>
      </c>
      <c r="G387" s="13" t="s">
        <v>84</v>
      </c>
      <c r="H387" s="13">
        <v>0</v>
      </c>
      <c r="I387" s="13">
        <v>0</v>
      </c>
      <c r="J387" s="13" t="s">
        <v>1140</v>
      </c>
      <c r="K387" s="13" t="s">
        <v>1127</v>
      </c>
      <c r="L387" s="15" t="s">
        <v>32</v>
      </c>
      <c r="M387" s="15" t="s">
        <v>49</v>
      </c>
      <c r="N387" s="3"/>
    </row>
    <row r="388" spans="1:14" x14ac:dyDescent="0.35">
      <c r="A388" s="13">
        <v>387</v>
      </c>
      <c r="B388" s="13" t="s">
        <v>75</v>
      </c>
      <c r="C388" s="13" t="s">
        <v>76</v>
      </c>
      <c r="D388" s="13" t="s">
        <v>1141</v>
      </c>
      <c r="E388" s="3" t="s">
        <v>1142</v>
      </c>
      <c r="F388" s="13" t="s">
        <v>1143</v>
      </c>
      <c r="G388" s="13" t="s">
        <v>80</v>
      </c>
      <c r="H388" s="13">
        <v>1</v>
      </c>
      <c r="I388" s="13">
        <v>2</v>
      </c>
      <c r="J388" s="13" t="s">
        <v>1144</v>
      </c>
      <c r="K388" s="13" t="s">
        <v>1145</v>
      </c>
      <c r="L388" s="15" t="s">
        <v>16</v>
      </c>
      <c r="M388" s="15" t="s">
        <v>49</v>
      </c>
      <c r="N388" s="3"/>
    </row>
    <row r="389" spans="1:14" x14ac:dyDescent="0.35">
      <c r="A389" s="13">
        <v>388</v>
      </c>
      <c r="B389" s="13" t="s">
        <v>75</v>
      </c>
      <c r="C389" s="13" t="s">
        <v>76</v>
      </c>
      <c r="D389" s="13" t="s">
        <v>1146</v>
      </c>
      <c r="E389" s="3" t="s">
        <v>1147</v>
      </c>
      <c r="F389" s="13" t="s">
        <v>1143</v>
      </c>
      <c r="G389" s="13" t="s">
        <v>80</v>
      </c>
      <c r="H389" s="13">
        <v>0</v>
      </c>
      <c r="I389" s="13">
        <v>1</v>
      </c>
      <c r="J389" s="13" t="s">
        <v>1148</v>
      </c>
      <c r="K389" s="13" t="s">
        <v>1145</v>
      </c>
      <c r="L389" s="15" t="s">
        <v>16</v>
      </c>
      <c r="M389" s="15" t="s">
        <v>49</v>
      </c>
      <c r="N389" s="3"/>
    </row>
    <row r="390" spans="1:14" x14ac:dyDescent="0.35">
      <c r="A390" s="13">
        <v>389</v>
      </c>
      <c r="B390" s="13" t="s">
        <v>75</v>
      </c>
      <c r="C390" s="13" t="s">
        <v>76</v>
      </c>
      <c r="D390" s="13" t="s">
        <v>1149</v>
      </c>
      <c r="E390" s="3" t="s">
        <v>1150</v>
      </c>
      <c r="F390" s="13" t="s">
        <v>1143</v>
      </c>
      <c r="G390" s="13" t="s">
        <v>80</v>
      </c>
      <c r="H390" s="13">
        <v>3</v>
      </c>
      <c r="I390" s="13">
        <v>0</v>
      </c>
      <c r="J390" s="13" t="s">
        <v>1151</v>
      </c>
      <c r="K390" s="13" t="s">
        <v>1145</v>
      </c>
      <c r="L390" s="15" t="s">
        <v>24</v>
      </c>
      <c r="M390" s="15" t="s">
        <v>46</v>
      </c>
      <c r="N390" s="3"/>
    </row>
    <row r="391" spans="1:14" x14ac:dyDescent="0.35">
      <c r="A391" s="13">
        <v>390</v>
      </c>
      <c r="B391" s="13" t="s">
        <v>86</v>
      </c>
      <c r="C391" s="13" t="s">
        <v>76</v>
      </c>
      <c r="D391" s="13" t="s">
        <v>1152</v>
      </c>
      <c r="E391" s="3" t="s">
        <v>1153</v>
      </c>
      <c r="F391" s="13" t="s">
        <v>1143</v>
      </c>
      <c r="G391" s="13" t="s">
        <v>84</v>
      </c>
      <c r="H391" s="13">
        <v>2</v>
      </c>
      <c r="I391" s="13">
        <v>1</v>
      </c>
      <c r="J391" s="13" t="s">
        <v>1154</v>
      </c>
      <c r="K391" s="13" t="s">
        <v>1145</v>
      </c>
      <c r="L391" s="15" t="s">
        <v>24</v>
      </c>
      <c r="M391" s="15" t="s">
        <v>46</v>
      </c>
      <c r="N391" s="3"/>
    </row>
    <row r="392" spans="1:14" x14ac:dyDescent="0.35">
      <c r="A392" s="13">
        <v>391</v>
      </c>
      <c r="B392" s="13" t="s">
        <v>86</v>
      </c>
      <c r="C392" s="13" t="s">
        <v>76</v>
      </c>
      <c r="D392" s="13" t="s">
        <v>301</v>
      </c>
      <c r="E392" s="3" t="s">
        <v>1155</v>
      </c>
      <c r="F392" s="13" t="s">
        <v>1143</v>
      </c>
      <c r="G392" s="13" t="s">
        <v>80</v>
      </c>
      <c r="H392" s="13">
        <v>0</v>
      </c>
      <c r="I392" s="13">
        <v>2</v>
      </c>
      <c r="J392" s="13" t="s">
        <v>1156</v>
      </c>
      <c r="K392" s="13" t="s">
        <v>1145</v>
      </c>
      <c r="L392" s="15" t="s">
        <v>32</v>
      </c>
      <c r="M392" s="15" t="s">
        <v>49</v>
      </c>
      <c r="N392" s="3"/>
    </row>
    <row r="393" spans="1:14" x14ac:dyDescent="0.35">
      <c r="A393" s="13">
        <v>392</v>
      </c>
      <c r="B393" s="13" t="s">
        <v>86</v>
      </c>
      <c r="C393" s="13" t="s">
        <v>76</v>
      </c>
      <c r="D393" s="13" t="s">
        <v>1157</v>
      </c>
      <c r="E393" s="3" t="s">
        <v>1158</v>
      </c>
      <c r="F393" s="13" t="s">
        <v>1143</v>
      </c>
      <c r="G393" s="13" t="s">
        <v>80</v>
      </c>
      <c r="H393" s="13">
        <v>1</v>
      </c>
      <c r="I393" s="13">
        <v>0</v>
      </c>
      <c r="J393" s="13" t="s">
        <v>1159</v>
      </c>
      <c r="K393" s="13" t="s">
        <v>1145</v>
      </c>
      <c r="L393" s="15" t="s">
        <v>12</v>
      </c>
      <c r="M393" s="15" t="s">
        <v>43</v>
      </c>
      <c r="N393" s="3"/>
    </row>
    <row r="394" spans="1:14" x14ac:dyDescent="0.35">
      <c r="A394" s="13">
        <v>393</v>
      </c>
      <c r="B394" s="13" t="s">
        <v>86</v>
      </c>
      <c r="C394" s="13" t="s">
        <v>76</v>
      </c>
      <c r="D394" s="13" t="s">
        <v>1160</v>
      </c>
      <c r="E394" s="3" t="s">
        <v>1161</v>
      </c>
      <c r="F394" s="13" t="s">
        <v>1143</v>
      </c>
      <c r="G394" s="13" t="s">
        <v>84</v>
      </c>
      <c r="H394" s="13">
        <v>2</v>
      </c>
      <c r="I394" s="13">
        <v>1</v>
      </c>
      <c r="J394" s="13" t="s">
        <v>1162</v>
      </c>
      <c r="K394" s="13" t="s">
        <v>1145</v>
      </c>
      <c r="L394" s="15" t="s">
        <v>16</v>
      </c>
      <c r="M394" s="15" t="s">
        <v>49</v>
      </c>
      <c r="N394" s="3"/>
    </row>
    <row r="395" spans="1:14" x14ac:dyDescent="0.35">
      <c r="A395" s="13">
        <v>394</v>
      </c>
      <c r="B395" s="13" t="s">
        <v>86</v>
      </c>
      <c r="C395" s="13" t="s">
        <v>76</v>
      </c>
      <c r="D395" s="13" t="s">
        <v>301</v>
      </c>
      <c r="E395" s="3" t="s">
        <v>1163</v>
      </c>
      <c r="F395" s="13" t="s">
        <v>1143</v>
      </c>
      <c r="G395" s="13" t="s">
        <v>84</v>
      </c>
      <c r="H395" s="13">
        <v>0</v>
      </c>
      <c r="I395" s="13">
        <v>0</v>
      </c>
      <c r="J395" s="13" t="s">
        <v>1164</v>
      </c>
      <c r="K395" s="13" t="s">
        <v>1145</v>
      </c>
      <c r="L395" s="15" t="s">
        <v>16</v>
      </c>
      <c r="M395" s="15" t="s">
        <v>49</v>
      </c>
      <c r="N395" s="3"/>
    </row>
    <row r="396" spans="1:14" x14ac:dyDescent="0.35">
      <c r="A396" s="13">
        <v>395</v>
      </c>
      <c r="B396" s="13" t="s">
        <v>86</v>
      </c>
      <c r="C396" s="13" t="s">
        <v>76</v>
      </c>
      <c r="D396" s="13" t="s">
        <v>1165</v>
      </c>
      <c r="E396" s="3" t="s">
        <v>1166</v>
      </c>
      <c r="F396" s="13" t="s">
        <v>1143</v>
      </c>
      <c r="G396" s="13" t="s">
        <v>80</v>
      </c>
      <c r="H396" s="13">
        <v>2</v>
      </c>
      <c r="I396" s="13">
        <v>0</v>
      </c>
      <c r="J396" s="13" t="s">
        <v>1167</v>
      </c>
      <c r="K396" s="13" t="s">
        <v>1145</v>
      </c>
      <c r="L396" s="15" t="s">
        <v>24</v>
      </c>
      <c r="M396" s="15" t="s">
        <v>46</v>
      </c>
      <c r="N396" s="3"/>
    </row>
    <row r="397" spans="1:14" x14ac:dyDescent="0.35">
      <c r="A397" s="13">
        <v>396</v>
      </c>
      <c r="B397" s="13" t="s">
        <v>86</v>
      </c>
      <c r="C397" s="13" t="s">
        <v>76</v>
      </c>
      <c r="D397" s="13" t="s">
        <v>1168</v>
      </c>
      <c r="E397" s="3" t="s">
        <v>1169</v>
      </c>
      <c r="F397" s="13" t="s">
        <v>1143</v>
      </c>
      <c r="G397" s="13" t="s">
        <v>84</v>
      </c>
      <c r="H397" s="13">
        <v>2</v>
      </c>
      <c r="I397" s="13">
        <v>0</v>
      </c>
      <c r="J397" s="13" t="s">
        <v>1170</v>
      </c>
      <c r="K397" s="13" t="s">
        <v>1145</v>
      </c>
      <c r="L397" s="15" t="s">
        <v>24</v>
      </c>
      <c r="M397" s="15" t="s">
        <v>46</v>
      </c>
      <c r="N397" s="3"/>
    </row>
    <row r="398" spans="1:14" x14ac:dyDescent="0.35">
      <c r="A398" s="13">
        <v>397</v>
      </c>
      <c r="B398" s="13" t="s">
        <v>86</v>
      </c>
      <c r="C398" s="13" t="s">
        <v>76</v>
      </c>
      <c r="D398" s="13" t="s">
        <v>1171</v>
      </c>
      <c r="E398" s="3" t="s">
        <v>1172</v>
      </c>
      <c r="F398" s="13" t="s">
        <v>1143</v>
      </c>
      <c r="G398" s="13" t="s">
        <v>80</v>
      </c>
      <c r="H398" s="13">
        <v>0</v>
      </c>
      <c r="I398" s="13">
        <v>0</v>
      </c>
      <c r="J398" s="13" t="s">
        <v>1173</v>
      </c>
      <c r="K398" s="13" t="s">
        <v>1145</v>
      </c>
      <c r="L398" s="15" t="s">
        <v>16</v>
      </c>
      <c r="M398" s="15" t="s">
        <v>49</v>
      </c>
      <c r="N398" s="3"/>
    </row>
    <row r="399" spans="1:14" x14ac:dyDescent="0.35">
      <c r="A399" s="13">
        <v>398</v>
      </c>
      <c r="B399" s="13" t="s">
        <v>86</v>
      </c>
      <c r="C399" s="13" t="s">
        <v>76</v>
      </c>
      <c r="D399" s="13" t="s">
        <v>1174</v>
      </c>
      <c r="E399" s="3" t="s">
        <v>1175</v>
      </c>
      <c r="F399" s="13" t="s">
        <v>1143</v>
      </c>
      <c r="G399" s="13" t="s">
        <v>80</v>
      </c>
      <c r="H399" s="13">
        <v>0</v>
      </c>
      <c r="I399" s="13">
        <v>0</v>
      </c>
      <c r="J399" s="13" t="s">
        <v>1176</v>
      </c>
      <c r="K399" s="13" t="s">
        <v>1145</v>
      </c>
      <c r="L399" s="15" t="s">
        <v>28</v>
      </c>
      <c r="M399" s="15" t="s">
        <v>49</v>
      </c>
      <c r="N399" s="3"/>
    </row>
    <row r="400" spans="1:14" x14ac:dyDescent="0.35">
      <c r="A400" s="13">
        <v>399</v>
      </c>
      <c r="B400" s="13" t="s">
        <v>86</v>
      </c>
      <c r="C400" s="13" t="s">
        <v>76</v>
      </c>
      <c r="D400" s="13" t="s">
        <v>1177</v>
      </c>
      <c r="E400" s="3" t="s">
        <v>1178</v>
      </c>
      <c r="F400" s="13" t="s">
        <v>1143</v>
      </c>
      <c r="G400" s="13" t="s">
        <v>80</v>
      </c>
      <c r="H400" s="13">
        <v>0</v>
      </c>
      <c r="I400" s="13">
        <v>0</v>
      </c>
      <c r="J400" s="13" t="s">
        <v>1179</v>
      </c>
      <c r="K400" s="13" t="s">
        <v>1145</v>
      </c>
      <c r="L400" s="15" t="s">
        <v>16</v>
      </c>
      <c r="M400" s="15" t="s">
        <v>49</v>
      </c>
      <c r="N400" s="3"/>
    </row>
    <row r="401" spans="1:14" x14ac:dyDescent="0.35">
      <c r="A401" s="13">
        <v>400</v>
      </c>
      <c r="B401" s="13" t="s">
        <v>591</v>
      </c>
      <c r="C401" s="13" t="s">
        <v>76</v>
      </c>
      <c r="D401" s="13" t="s">
        <v>1180</v>
      </c>
      <c r="E401" s="3" t="s">
        <v>1181</v>
      </c>
      <c r="F401" s="13" t="s">
        <v>1143</v>
      </c>
      <c r="G401" s="13" t="s">
        <v>80</v>
      </c>
      <c r="H401" s="13">
        <v>0</v>
      </c>
      <c r="I401" s="13">
        <v>0</v>
      </c>
      <c r="J401" s="13" t="s">
        <v>1182</v>
      </c>
      <c r="K401" s="13" t="s">
        <v>1145</v>
      </c>
      <c r="L401" s="15" t="s">
        <v>16</v>
      </c>
      <c r="M401" s="15" t="s">
        <v>49</v>
      </c>
      <c r="N401" s="3"/>
    </row>
    <row r="402" spans="1:14" x14ac:dyDescent="0.35">
      <c r="A402" s="13">
        <v>401</v>
      </c>
      <c r="B402" s="13" t="s">
        <v>591</v>
      </c>
      <c r="C402" s="13" t="s">
        <v>76</v>
      </c>
      <c r="D402" s="13" t="s">
        <v>1141</v>
      </c>
      <c r="E402" s="3" t="s">
        <v>1183</v>
      </c>
      <c r="F402" s="13" t="s">
        <v>1143</v>
      </c>
      <c r="G402" s="13" t="s">
        <v>84</v>
      </c>
      <c r="H402" s="13">
        <v>1</v>
      </c>
      <c r="I402" s="13">
        <v>0</v>
      </c>
      <c r="J402" s="13" t="s">
        <v>1184</v>
      </c>
      <c r="K402" s="13" t="s">
        <v>1145</v>
      </c>
      <c r="L402" s="15" t="s">
        <v>24</v>
      </c>
      <c r="M402" s="15" t="s">
        <v>46</v>
      </c>
      <c r="N402" s="3"/>
    </row>
    <row r="403" spans="1:14" x14ac:dyDescent="0.35">
      <c r="A403" s="13">
        <v>402</v>
      </c>
      <c r="B403" s="13" t="s">
        <v>86</v>
      </c>
      <c r="C403" s="13" t="s">
        <v>76</v>
      </c>
      <c r="D403" s="13" t="s">
        <v>734</v>
      </c>
      <c r="E403" s="3" t="s">
        <v>1185</v>
      </c>
      <c r="F403" s="13" t="s">
        <v>1186</v>
      </c>
      <c r="G403" s="13" t="s">
        <v>80</v>
      </c>
      <c r="H403" s="13">
        <v>3</v>
      </c>
      <c r="I403" s="13">
        <v>0</v>
      </c>
      <c r="J403" s="13" t="s">
        <v>1187</v>
      </c>
      <c r="K403" s="13" t="s">
        <v>1188</v>
      </c>
      <c r="L403" s="15" t="s">
        <v>12</v>
      </c>
      <c r="M403" s="15" t="s">
        <v>43</v>
      </c>
      <c r="N403" s="3"/>
    </row>
    <row r="404" spans="1:14" x14ac:dyDescent="0.35">
      <c r="A404" s="13">
        <v>403</v>
      </c>
      <c r="B404" s="13" t="s">
        <v>86</v>
      </c>
      <c r="C404" s="13" t="s">
        <v>76</v>
      </c>
      <c r="D404" s="13" t="s">
        <v>1189</v>
      </c>
      <c r="E404" s="3" t="s">
        <v>1190</v>
      </c>
      <c r="F404" s="13" t="s">
        <v>1186</v>
      </c>
      <c r="G404" s="13" t="s">
        <v>80</v>
      </c>
      <c r="H404" s="13">
        <v>1</v>
      </c>
      <c r="I404" s="13">
        <v>0</v>
      </c>
      <c r="J404" s="13" t="s">
        <v>1191</v>
      </c>
      <c r="K404" s="13" t="s">
        <v>1188</v>
      </c>
      <c r="L404" s="15" t="s">
        <v>16</v>
      </c>
      <c r="M404" s="15" t="s">
        <v>49</v>
      </c>
      <c r="N404" s="3"/>
    </row>
    <row r="405" spans="1:14" x14ac:dyDescent="0.35">
      <c r="A405" s="13">
        <v>404</v>
      </c>
      <c r="B405" s="13" t="s">
        <v>86</v>
      </c>
      <c r="C405" s="13" t="s">
        <v>76</v>
      </c>
      <c r="D405" s="13" t="s">
        <v>486</v>
      </c>
      <c r="E405" s="3" t="s">
        <v>1192</v>
      </c>
      <c r="F405" s="13" t="s">
        <v>1186</v>
      </c>
      <c r="G405" s="13" t="s">
        <v>80</v>
      </c>
      <c r="H405" s="13">
        <v>0</v>
      </c>
      <c r="I405" s="13">
        <v>0</v>
      </c>
      <c r="J405" s="13" t="s">
        <v>1193</v>
      </c>
      <c r="K405" s="13" t="s">
        <v>1188</v>
      </c>
      <c r="L405" s="15" t="s">
        <v>16</v>
      </c>
      <c r="M405" s="15" t="s">
        <v>49</v>
      </c>
      <c r="N405" s="3"/>
    </row>
    <row r="406" spans="1:14" x14ac:dyDescent="0.35">
      <c r="A406" s="13">
        <v>405</v>
      </c>
      <c r="B406" s="13" t="s">
        <v>86</v>
      </c>
      <c r="C406" s="13" t="s">
        <v>76</v>
      </c>
      <c r="D406" s="13" t="s">
        <v>442</v>
      </c>
      <c r="E406" s="3" t="s">
        <v>1194</v>
      </c>
      <c r="F406" s="13" t="s">
        <v>1186</v>
      </c>
      <c r="G406" s="13" t="s">
        <v>80</v>
      </c>
      <c r="H406" s="13">
        <v>0</v>
      </c>
      <c r="I406" s="13">
        <v>0</v>
      </c>
      <c r="J406" s="13" t="s">
        <v>1195</v>
      </c>
      <c r="K406" s="13" t="s">
        <v>1188</v>
      </c>
      <c r="L406" s="15" t="s">
        <v>24</v>
      </c>
      <c r="M406" s="15" t="s">
        <v>46</v>
      </c>
      <c r="N406" s="3"/>
    </row>
    <row r="407" spans="1:14" x14ac:dyDescent="0.35">
      <c r="A407" s="13">
        <v>406</v>
      </c>
      <c r="B407" s="13" t="s">
        <v>86</v>
      </c>
      <c r="C407" s="13" t="s">
        <v>76</v>
      </c>
      <c r="D407" s="13" t="s">
        <v>1196</v>
      </c>
      <c r="E407" s="3" t="s">
        <v>1197</v>
      </c>
      <c r="F407" s="13" t="s">
        <v>1186</v>
      </c>
      <c r="G407" s="13" t="s">
        <v>80</v>
      </c>
      <c r="H407" s="13">
        <v>0</v>
      </c>
      <c r="I407" s="13">
        <v>0</v>
      </c>
      <c r="J407" s="13" t="s">
        <v>1198</v>
      </c>
      <c r="K407" s="13" t="s">
        <v>1188</v>
      </c>
      <c r="L407" s="15" t="s">
        <v>16</v>
      </c>
      <c r="M407" s="15" t="s">
        <v>49</v>
      </c>
      <c r="N407" s="3"/>
    </row>
    <row r="408" spans="1:14" x14ac:dyDescent="0.35">
      <c r="A408" s="13">
        <v>407</v>
      </c>
      <c r="B408" s="13" t="s">
        <v>86</v>
      </c>
      <c r="C408" s="13" t="s">
        <v>76</v>
      </c>
      <c r="D408" s="13" t="s">
        <v>1199</v>
      </c>
      <c r="E408" s="3" t="s">
        <v>1200</v>
      </c>
      <c r="F408" s="13" t="s">
        <v>1186</v>
      </c>
      <c r="G408" s="13" t="s">
        <v>80</v>
      </c>
      <c r="H408" s="13">
        <v>1</v>
      </c>
      <c r="I408" s="13">
        <v>1</v>
      </c>
      <c r="J408" s="13" t="s">
        <v>1201</v>
      </c>
      <c r="K408" s="13" t="s">
        <v>1188</v>
      </c>
      <c r="L408" s="15" t="s">
        <v>24</v>
      </c>
      <c r="M408" s="15" t="s">
        <v>46</v>
      </c>
      <c r="N408" s="3"/>
    </row>
    <row r="409" spans="1:14" x14ac:dyDescent="0.35">
      <c r="A409" s="13">
        <v>408</v>
      </c>
      <c r="B409" s="13" t="s">
        <v>86</v>
      </c>
      <c r="C409" s="13" t="s">
        <v>76</v>
      </c>
      <c r="D409" s="13" t="s">
        <v>1202</v>
      </c>
      <c r="E409" s="3" t="s">
        <v>1203</v>
      </c>
      <c r="F409" s="13" t="s">
        <v>1186</v>
      </c>
      <c r="G409" s="13" t="s">
        <v>80</v>
      </c>
      <c r="H409" s="13">
        <v>0</v>
      </c>
      <c r="I409" s="13">
        <v>0</v>
      </c>
      <c r="J409" s="13" t="s">
        <v>1204</v>
      </c>
      <c r="K409" s="13" t="s">
        <v>1188</v>
      </c>
      <c r="L409" s="15" t="s">
        <v>16</v>
      </c>
      <c r="M409" s="15" t="s">
        <v>49</v>
      </c>
      <c r="N409" s="3"/>
    </row>
    <row r="410" spans="1:14" ht="37.5" x14ac:dyDescent="0.35">
      <c r="A410" s="13">
        <v>409</v>
      </c>
      <c r="B410" s="13" t="s">
        <v>86</v>
      </c>
      <c r="C410" s="13" t="s">
        <v>76</v>
      </c>
      <c r="D410" s="13" t="s">
        <v>471</v>
      </c>
      <c r="E410" s="3" t="s">
        <v>1205</v>
      </c>
      <c r="F410" s="13" t="s">
        <v>1186</v>
      </c>
      <c r="G410" s="13" t="s">
        <v>80</v>
      </c>
      <c r="H410" s="13">
        <v>1</v>
      </c>
      <c r="I410" s="13">
        <v>0</v>
      </c>
      <c r="J410" s="13" t="s">
        <v>1206</v>
      </c>
      <c r="K410" s="13" t="s">
        <v>1188</v>
      </c>
      <c r="L410" s="15" t="s">
        <v>24</v>
      </c>
      <c r="M410" s="15" t="s">
        <v>46</v>
      </c>
      <c r="N410" s="3"/>
    </row>
    <row r="411" spans="1:14" x14ac:dyDescent="0.35">
      <c r="A411" s="13">
        <v>410</v>
      </c>
      <c r="B411" s="13" t="s">
        <v>86</v>
      </c>
      <c r="C411" s="13" t="s">
        <v>76</v>
      </c>
      <c r="D411" s="13" t="s">
        <v>1207</v>
      </c>
      <c r="E411" s="3" t="s">
        <v>1208</v>
      </c>
      <c r="F411" s="13" t="s">
        <v>1186</v>
      </c>
      <c r="G411" s="13" t="s">
        <v>80</v>
      </c>
      <c r="H411" s="13">
        <v>0</v>
      </c>
      <c r="I411" s="13">
        <v>0</v>
      </c>
      <c r="J411" s="13" t="s">
        <v>1209</v>
      </c>
      <c r="K411" s="13" t="s">
        <v>1188</v>
      </c>
      <c r="L411" s="15" t="s">
        <v>16</v>
      </c>
      <c r="M411" s="15" t="s">
        <v>49</v>
      </c>
      <c r="N411" s="3"/>
    </row>
    <row r="412" spans="1:14" x14ac:dyDescent="0.35">
      <c r="A412" s="13">
        <v>411</v>
      </c>
      <c r="B412" s="13" t="s">
        <v>86</v>
      </c>
      <c r="C412" s="13" t="s">
        <v>76</v>
      </c>
      <c r="D412" s="13" t="s">
        <v>236</v>
      </c>
      <c r="E412" s="3" t="s">
        <v>1210</v>
      </c>
      <c r="F412" s="13" t="s">
        <v>1186</v>
      </c>
      <c r="G412" s="13" t="s">
        <v>80</v>
      </c>
      <c r="H412" s="13">
        <v>1</v>
      </c>
      <c r="I412" s="13">
        <v>0</v>
      </c>
      <c r="J412" s="13" t="s">
        <v>1211</v>
      </c>
      <c r="K412" s="13" t="s">
        <v>1188</v>
      </c>
      <c r="L412" s="15" t="s">
        <v>16</v>
      </c>
      <c r="M412" s="15" t="s">
        <v>49</v>
      </c>
      <c r="N412" s="3"/>
    </row>
    <row r="413" spans="1:14" x14ac:dyDescent="0.35">
      <c r="A413" s="13">
        <v>412</v>
      </c>
      <c r="B413" s="13" t="s">
        <v>86</v>
      </c>
      <c r="C413" s="13" t="s">
        <v>76</v>
      </c>
      <c r="D413" s="13" t="s">
        <v>1212</v>
      </c>
      <c r="E413" s="3" t="s">
        <v>1213</v>
      </c>
      <c r="F413" s="13" t="s">
        <v>1186</v>
      </c>
      <c r="G413" s="13" t="s">
        <v>80</v>
      </c>
      <c r="H413" s="13">
        <v>0</v>
      </c>
      <c r="I413" s="13">
        <v>0</v>
      </c>
      <c r="J413" s="13" t="s">
        <v>1214</v>
      </c>
      <c r="K413" s="13" t="s">
        <v>1188</v>
      </c>
      <c r="L413" s="15" t="s">
        <v>16</v>
      </c>
      <c r="M413" s="15" t="s">
        <v>49</v>
      </c>
      <c r="N413" s="3"/>
    </row>
    <row r="414" spans="1:14" x14ac:dyDescent="0.35">
      <c r="A414" s="13">
        <v>413</v>
      </c>
      <c r="B414" s="13" t="s">
        <v>86</v>
      </c>
      <c r="C414" s="13" t="s">
        <v>76</v>
      </c>
      <c r="D414" s="13" t="s">
        <v>1215</v>
      </c>
      <c r="E414" s="3" t="s">
        <v>1216</v>
      </c>
      <c r="F414" s="13" t="s">
        <v>1186</v>
      </c>
      <c r="G414" s="13" t="s">
        <v>80</v>
      </c>
      <c r="H414" s="13">
        <v>2</v>
      </c>
      <c r="I414" s="13">
        <v>2</v>
      </c>
      <c r="J414" s="13" t="s">
        <v>1217</v>
      </c>
      <c r="K414" s="13" t="s">
        <v>1188</v>
      </c>
      <c r="L414" s="15" t="s">
        <v>36</v>
      </c>
      <c r="M414" s="15" t="s">
        <v>49</v>
      </c>
      <c r="N414" s="3"/>
    </row>
    <row r="415" spans="1:14" x14ac:dyDescent="0.35">
      <c r="A415" s="13">
        <v>414</v>
      </c>
      <c r="B415" s="13" t="s">
        <v>86</v>
      </c>
      <c r="C415" s="13" t="s">
        <v>76</v>
      </c>
      <c r="D415" s="13" t="s">
        <v>1218</v>
      </c>
      <c r="E415" s="3" t="s">
        <v>1219</v>
      </c>
      <c r="F415" s="13" t="s">
        <v>1186</v>
      </c>
      <c r="G415" s="13" t="s">
        <v>80</v>
      </c>
      <c r="H415" s="13">
        <v>0</v>
      </c>
      <c r="I415" s="13">
        <v>0</v>
      </c>
      <c r="J415" s="13" t="s">
        <v>1217</v>
      </c>
      <c r="K415" s="13" t="s">
        <v>1188</v>
      </c>
      <c r="L415" s="15" t="s">
        <v>16</v>
      </c>
      <c r="M415" s="15" t="s">
        <v>49</v>
      </c>
      <c r="N415" s="3"/>
    </row>
    <row r="416" spans="1:14" x14ac:dyDescent="0.35">
      <c r="A416" s="13">
        <v>415</v>
      </c>
      <c r="B416" s="13" t="s">
        <v>86</v>
      </c>
      <c r="C416" s="13" t="s">
        <v>76</v>
      </c>
      <c r="D416" s="13" t="s">
        <v>531</v>
      </c>
      <c r="E416" s="3" t="s">
        <v>1220</v>
      </c>
      <c r="F416" s="13" t="s">
        <v>1186</v>
      </c>
      <c r="G416" s="13" t="s">
        <v>80</v>
      </c>
      <c r="H416" s="13">
        <v>0</v>
      </c>
      <c r="I416" s="13">
        <v>0</v>
      </c>
      <c r="J416" s="13" t="s">
        <v>1221</v>
      </c>
      <c r="K416" s="13" t="s">
        <v>1188</v>
      </c>
      <c r="L416" s="15" t="s">
        <v>16</v>
      </c>
      <c r="M416" s="15" t="s">
        <v>49</v>
      </c>
      <c r="N416" s="3"/>
    </row>
    <row r="417" spans="1:14" x14ac:dyDescent="0.35">
      <c r="A417" s="13">
        <v>416</v>
      </c>
      <c r="B417" s="13" t="s">
        <v>86</v>
      </c>
      <c r="C417" s="13" t="s">
        <v>76</v>
      </c>
      <c r="D417" s="13" t="s">
        <v>1222</v>
      </c>
      <c r="E417" s="3" t="s">
        <v>1223</v>
      </c>
      <c r="F417" s="13" t="s">
        <v>1186</v>
      </c>
      <c r="G417" s="13" t="s">
        <v>80</v>
      </c>
      <c r="H417" s="13">
        <v>0</v>
      </c>
      <c r="I417" s="13">
        <v>0</v>
      </c>
      <c r="J417" s="13" t="s">
        <v>1224</v>
      </c>
      <c r="K417" s="13" t="s">
        <v>1188</v>
      </c>
      <c r="L417" s="15" t="s">
        <v>16</v>
      </c>
      <c r="M417" s="15" t="s">
        <v>49</v>
      </c>
      <c r="N417" s="3"/>
    </row>
    <row r="418" spans="1:14" x14ac:dyDescent="0.35">
      <c r="A418" s="13">
        <v>417</v>
      </c>
      <c r="B418" s="13" t="s">
        <v>86</v>
      </c>
      <c r="C418" s="13" t="s">
        <v>76</v>
      </c>
      <c r="D418" s="13" t="s">
        <v>572</v>
      </c>
      <c r="E418" s="3" t="s">
        <v>1225</v>
      </c>
      <c r="F418" s="13" t="s">
        <v>1186</v>
      </c>
      <c r="G418" s="13" t="s">
        <v>80</v>
      </c>
      <c r="H418" s="13">
        <v>0</v>
      </c>
      <c r="I418" s="13">
        <v>0</v>
      </c>
      <c r="J418" s="13" t="s">
        <v>1226</v>
      </c>
      <c r="K418" s="13" t="s">
        <v>1188</v>
      </c>
      <c r="L418" s="15" t="s">
        <v>24</v>
      </c>
      <c r="M418" s="15" t="s">
        <v>46</v>
      </c>
      <c r="N418" s="3"/>
    </row>
    <row r="419" spans="1:14" x14ac:dyDescent="0.35">
      <c r="A419" s="13">
        <v>418</v>
      </c>
      <c r="B419" s="13" t="s">
        <v>86</v>
      </c>
      <c r="C419" s="13" t="s">
        <v>76</v>
      </c>
      <c r="D419" s="13" t="s">
        <v>1227</v>
      </c>
      <c r="E419" s="3" t="s">
        <v>1228</v>
      </c>
      <c r="F419" s="13" t="s">
        <v>1186</v>
      </c>
      <c r="G419" s="13" t="s">
        <v>80</v>
      </c>
      <c r="H419" s="13">
        <v>0</v>
      </c>
      <c r="I419" s="13">
        <v>0</v>
      </c>
      <c r="J419" s="13" t="s">
        <v>1229</v>
      </c>
      <c r="K419" s="13" t="s">
        <v>1188</v>
      </c>
      <c r="L419" s="15" t="s">
        <v>16</v>
      </c>
      <c r="M419" s="15" t="s">
        <v>49</v>
      </c>
      <c r="N419" s="3"/>
    </row>
    <row r="420" spans="1:14" x14ac:dyDescent="0.35">
      <c r="A420" s="13">
        <v>419</v>
      </c>
      <c r="B420" s="13" t="s">
        <v>86</v>
      </c>
      <c r="C420" s="13" t="s">
        <v>76</v>
      </c>
      <c r="D420" s="13" t="s">
        <v>1230</v>
      </c>
      <c r="E420" s="3" t="s">
        <v>1231</v>
      </c>
      <c r="F420" s="13" t="s">
        <v>1186</v>
      </c>
      <c r="G420" s="13" t="s">
        <v>80</v>
      </c>
      <c r="H420" s="13">
        <v>0</v>
      </c>
      <c r="I420" s="13">
        <v>0</v>
      </c>
      <c r="J420" s="13" t="s">
        <v>1232</v>
      </c>
      <c r="K420" s="13" t="s">
        <v>1188</v>
      </c>
      <c r="L420" s="15" t="s">
        <v>20</v>
      </c>
      <c r="M420" s="15" t="s">
        <v>49</v>
      </c>
      <c r="N420" s="3"/>
    </row>
    <row r="421" spans="1:14" x14ac:dyDescent="0.35">
      <c r="A421" s="13">
        <v>420</v>
      </c>
      <c r="B421" s="13" t="s">
        <v>591</v>
      </c>
      <c r="C421" s="13" t="s">
        <v>76</v>
      </c>
      <c r="D421" s="13" t="s">
        <v>1233</v>
      </c>
      <c r="E421" s="3" t="s">
        <v>1234</v>
      </c>
      <c r="F421" s="13" t="s">
        <v>1186</v>
      </c>
      <c r="G421" s="13" t="s">
        <v>80</v>
      </c>
      <c r="H421" s="13">
        <v>0</v>
      </c>
      <c r="I421" s="13">
        <v>0</v>
      </c>
      <c r="J421" s="13" t="s">
        <v>1235</v>
      </c>
      <c r="K421" s="13" t="s">
        <v>1188</v>
      </c>
      <c r="L421" s="15" t="s">
        <v>16</v>
      </c>
      <c r="M421" s="15" t="s">
        <v>49</v>
      </c>
      <c r="N421" s="3"/>
    </row>
    <row r="422" spans="1:14" x14ac:dyDescent="0.35">
      <c r="A422" s="13">
        <v>421</v>
      </c>
      <c r="B422" s="13" t="s">
        <v>591</v>
      </c>
      <c r="C422" s="13" t="s">
        <v>76</v>
      </c>
      <c r="D422" s="13" t="s">
        <v>1236</v>
      </c>
      <c r="E422" s="3" t="s">
        <v>1237</v>
      </c>
      <c r="F422" s="13" t="s">
        <v>1186</v>
      </c>
      <c r="G422" s="13" t="s">
        <v>80</v>
      </c>
      <c r="H422" s="13">
        <v>5</v>
      </c>
      <c r="I422" s="13">
        <v>1</v>
      </c>
      <c r="J422" s="13" t="s">
        <v>1238</v>
      </c>
      <c r="K422" s="13" t="s">
        <v>1188</v>
      </c>
      <c r="L422" s="15" t="s">
        <v>24</v>
      </c>
      <c r="M422" s="15" t="s">
        <v>46</v>
      </c>
      <c r="N422" s="3"/>
    </row>
    <row r="423" spans="1:14" ht="37.5" x14ac:dyDescent="0.35">
      <c r="A423" s="13">
        <v>422</v>
      </c>
      <c r="B423" s="13" t="s">
        <v>591</v>
      </c>
      <c r="C423" s="13" t="s">
        <v>76</v>
      </c>
      <c r="D423" s="13" t="s">
        <v>1236</v>
      </c>
      <c r="E423" s="3" t="s">
        <v>1239</v>
      </c>
      <c r="F423" s="13" t="s">
        <v>1186</v>
      </c>
      <c r="G423" s="13" t="s">
        <v>84</v>
      </c>
      <c r="H423" s="13">
        <v>0</v>
      </c>
      <c r="I423" s="13">
        <v>0</v>
      </c>
      <c r="J423" s="13" t="s">
        <v>1240</v>
      </c>
      <c r="K423" s="13" t="s">
        <v>1188</v>
      </c>
      <c r="L423" s="15" t="s">
        <v>24</v>
      </c>
      <c r="M423" s="15" t="s">
        <v>46</v>
      </c>
      <c r="N423" s="3"/>
    </row>
    <row r="424" spans="1:14" x14ac:dyDescent="0.35">
      <c r="A424" s="13">
        <v>423</v>
      </c>
      <c r="B424" s="13" t="s">
        <v>591</v>
      </c>
      <c r="C424" s="13" t="s">
        <v>76</v>
      </c>
      <c r="D424" s="13" t="s">
        <v>1241</v>
      </c>
      <c r="E424" s="3" t="s">
        <v>1242</v>
      </c>
      <c r="F424" s="13" t="s">
        <v>1186</v>
      </c>
      <c r="G424" s="13" t="s">
        <v>84</v>
      </c>
      <c r="H424" s="13">
        <v>0</v>
      </c>
      <c r="I424" s="13">
        <v>0</v>
      </c>
      <c r="J424" s="13" t="s">
        <v>1243</v>
      </c>
      <c r="K424" s="13" t="s">
        <v>1188</v>
      </c>
      <c r="L424" s="15" t="s">
        <v>32</v>
      </c>
      <c r="M424" s="15" t="s">
        <v>49</v>
      </c>
      <c r="N424" s="3"/>
    </row>
    <row r="425" spans="1:14" x14ac:dyDescent="0.35">
      <c r="A425" s="13">
        <v>424</v>
      </c>
      <c r="B425" s="13" t="s">
        <v>591</v>
      </c>
      <c r="C425" s="13" t="s">
        <v>76</v>
      </c>
      <c r="D425" s="13" t="s">
        <v>1244</v>
      </c>
      <c r="E425" s="3" t="s">
        <v>1245</v>
      </c>
      <c r="F425" s="13" t="s">
        <v>1186</v>
      </c>
      <c r="G425" s="13" t="s">
        <v>84</v>
      </c>
      <c r="H425" s="13">
        <v>2</v>
      </c>
      <c r="I425" s="13">
        <v>0</v>
      </c>
      <c r="J425" s="13" t="s">
        <v>1246</v>
      </c>
      <c r="K425" s="13" t="s">
        <v>1188</v>
      </c>
      <c r="L425" s="15" t="s">
        <v>24</v>
      </c>
      <c r="M425" s="15" t="s">
        <v>46</v>
      </c>
      <c r="N425" s="3"/>
    </row>
    <row r="426" spans="1:14" x14ac:dyDescent="0.35">
      <c r="A426" s="13">
        <v>425</v>
      </c>
      <c r="B426" s="13" t="s">
        <v>591</v>
      </c>
      <c r="C426" s="13" t="s">
        <v>76</v>
      </c>
      <c r="D426" s="13" t="s">
        <v>1247</v>
      </c>
      <c r="E426" s="3" t="s">
        <v>1248</v>
      </c>
      <c r="F426" s="13" t="s">
        <v>1186</v>
      </c>
      <c r="G426" s="13" t="s">
        <v>80</v>
      </c>
      <c r="H426" s="13">
        <v>3</v>
      </c>
      <c r="I426" s="13">
        <v>0</v>
      </c>
      <c r="J426" s="13" t="s">
        <v>1249</v>
      </c>
      <c r="K426" s="13" t="s">
        <v>1188</v>
      </c>
      <c r="L426" s="15" t="s">
        <v>24</v>
      </c>
      <c r="M426" s="15" t="s">
        <v>46</v>
      </c>
      <c r="N426" s="3"/>
    </row>
    <row r="427" spans="1:14" x14ac:dyDescent="0.35">
      <c r="A427" s="13">
        <v>426</v>
      </c>
      <c r="B427" s="13" t="s">
        <v>591</v>
      </c>
      <c r="C427" s="13" t="s">
        <v>76</v>
      </c>
      <c r="D427" s="13" t="s">
        <v>1250</v>
      </c>
      <c r="E427" s="3" t="s">
        <v>1251</v>
      </c>
      <c r="F427" s="13" t="s">
        <v>1186</v>
      </c>
      <c r="G427" s="13" t="s">
        <v>80</v>
      </c>
      <c r="H427" s="13">
        <v>0</v>
      </c>
      <c r="I427" s="13">
        <v>0</v>
      </c>
      <c r="J427" s="13" t="s">
        <v>1252</v>
      </c>
      <c r="K427" s="13" t="s">
        <v>1188</v>
      </c>
      <c r="L427" s="15" t="s">
        <v>16</v>
      </c>
      <c r="M427" s="15" t="s">
        <v>49</v>
      </c>
      <c r="N427" s="3"/>
    </row>
    <row r="428" spans="1:14" x14ac:dyDescent="0.35">
      <c r="A428" s="13">
        <v>427</v>
      </c>
      <c r="B428" s="13" t="s">
        <v>591</v>
      </c>
      <c r="C428" s="13" t="s">
        <v>76</v>
      </c>
      <c r="D428" s="13" t="s">
        <v>1253</v>
      </c>
      <c r="E428" s="3" t="s">
        <v>1254</v>
      </c>
      <c r="F428" s="13" t="s">
        <v>1186</v>
      </c>
      <c r="G428" s="13" t="s">
        <v>80</v>
      </c>
      <c r="H428" s="13">
        <v>0</v>
      </c>
      <c r="I428" s="13">
        <v>0</v>
      </c>
      <c r="J428" s="13" t="s">
        <v>1255</v>
      </c>
      <c r="K428" s="13" t="s">
        <v>1188</v>
      </c>
      <c r="L428" s="15" t="s">
        <v>16</v>
      </c>
      <c r="M428" s="15" t="s">
        <v>49</v>
      </c>
      <c r="N428" s="3"/>
    </row>
    <row r="429" spans="1:14" x14ac:dyDescent="0.35">
      <c r="A429" s="13">
        <v>428</v>
      </c>
      <c r="B429" s="13" t="s">
        <v>591</v>
      </c>
      <c r="C429" s="13" t="s">
        <v>76</v>
      </c>
      <c r="D429" s="13" t="s">
        <v>1256</v>
      </c>
      <c r="E429" s="3" t="s">
        <v>1257</v>
      </c>
      <c r="F429" s="13" t="s">
        <v>1186</v>
      </c>
      <c r="G429" s="13" t="s">
        <v>80</v>
      </c>
      <c r="H429" s="13">
        <v>1</v>
      </c>
      <c r="I429" s="13">
        <v>4</v>
      </c>
      <c r="J429" s="13" t="s">
        <v>1258</v>
      </c>
      <c r="K429" s="13" t="s">
        <v>1188</v>
      </c>
      <c r="L429" s="15" t="s">
        <v>16</v>
      </c>
      <c r="M429" s="15" t="s">
        <v>49</v>
      </c>
      <c r="N429" s="3"/>
    </row>
    <row r="430" spans="1:14" x14ac:dyDescent="0.35">
      <c r="A430" s="13">
        <v>429</v>
      </c>
      <c r="B430" s="13" t="s">
        <v>591</v>
      </c>
      <c r="C430" s="13" t="s">
        <v>76</v>
      </c>
      <c r="D430" s="13" t="s">
        <v>1259</v>
      </c>
      <c r="E430" s="3" t="s">
        <v>1260</v>
      </c>
      <c r="F430" s="13" t="s">
        <v>1186</v>
      </c>
      <c r="G430" s="13" t="s">
        <v>84</v>
      </c>
      <c r="H430" s="13">
        <v>0</v>
      </c>
      <c r="I430" s="13">
        <v>0</v>
      </c>
      <c r="J430" s="13" t="s">
        <v>1261</v>
      </c>
      <c r="K430" s="13" t="s">
        <v>1188</v>
      </c>
      <c r="L430" s="15" t="s">
        <v>32</v>
      </c>
      <c r="M430" s="15" t="s">
        <v>49</v>
      </c>
      <c r="N430" s="3"/>
    </row>
    <row r="431" spans="1:14" ht="25" x14ac:dyDescent="0.35">
      <c r="A431" s="13">
        <v>430</v>
      </c>
      <c r="B431" s="13" t="s">
        <v>591</v>
      </c>
      <c r="C431" s="13" t="s">
        <v>76</v>
      </c>
      <c r="D431" s="13" t="s">
        <v>1262</v>
      </c>
      <c r="E431" s="3" t="s">
        <v>1263</v>
      </c>
      <c r="F431" s="13" t="s">
        <v>1186</v>
      </c>
      <c r="G431" s="13" t="s">
        <v>80</v>
      </c>
      <c r="H431" s="13">
        <v>1</v>
      </c>
      <c r="I431" s="13">
        <v>0</v>
      </c>
      <c r="J431" s="13" t="s">
        <v>1264</v>
      </c>
      <c r="K431" s="13" t="s">
        <v>1188</v>
      </c>
      <c r="L431" s="15" t="s">
        <v>16</v>
      </c>
      <c r="M431" s="15" t="s">
        <v>49</v>
      </c>
      <c r="N431" s="3"/>
    </row>
    <row r="432" spans="1:14" x14ac:dyDescent="0.35">
      <c r="A432" s="13">
        <v>431</v>
      </c>
      <c r="B432" s="13" t="s">
        <v>591</v>
      </c>
      <c r="C432" s="13" t="s">
        <v>76</v>
      </c>
      <c r="D432" s="13" t="s">
        <v>1265</v>
      </c>
      <c r="E432" s="3" t="s">
        <v>1266</v>
      </c>
      <c r="F432" s="13" t="s">
        <v>1186</v>
      </c>
      <c r="G432" s="13" t="s">
        <v>80</v>
      </c>
      <c r="H432" s="13">
        <v>0</v>
      </c>
      <c r="I432" s="13">
        <v>0</v>
      </c>
      <c r="J432" s="13" t="s">
        <v>1267</v>
      </c>
      <c r="K432" s="13" t="s">
        <v>1188</v>
      </c>
      <c r="L432" s="15" t="s">
        <v>24</v>
      </c>
      <c r="M432" s="15" t="s">
        <v>46</v>
      </c>
      <c r="N432" s="3"/>
    </row>
    <row r="433" spans="1:14" ht="25" x14ac:dyDescent="0.35">
      <c r="A433" s="13">
        <v>432</v>
      </c>
      <c r="B433" s="13" t="s">
        <v>591</v>
      </c>
      <c r="C433" s="13" t="s">
        <v>76</v>
      </c>
      <c r="D433" s="13" t="s">
        <v>1268</v>
      </c>
      <c r="E433" s="3" t="s">
        <v>1269</v>
      </c>
      <c r="F433" s="13" t="s">
        <v>1186</v>
      </c>
      <c r="G433" s="13" t="s">
        <v>80</v>
      </c>
      <c r="H433" s="13">
        <v>2</v>
      </c>
      <c r="I433" s="13">
        <v>0</v>
      </c>
      <c r="J433" s="13" t="s">
        <v>1270</v>
      </c>
      <c r="K433" s="13" t="s">
        <v>1188</v>
      </c>
      <c r="L433" s="15" t="s">
        <v>28</v>
      </c>
      <c r="M433" s="15" t="s">
        <v>49</v>
      </c>
      <c r="N433" s="3"/>
    </row>
    <row r="434" spans="1:14" ht="62.5" x14ac:dyDescent="0.35">
      <c r="A434" s="13">
        <v>433</v>
      </c>
      <c r="B434" s="13" t="s">
        <v>591</v>
      </c>
      <c r="C434" s="13" t="s">
        <v>76</v>
      </c>
      <c r="D434" s="13" t="s">
        <v>505</v>
      </c>
      <c r="E434" s="3" t="s">
        <v>1271</v>
      </c>
      <c r="F434" s="13" t="s">
        <v>1186</v>
      </c>
      <c r="G434" s="13" t="s">
        <v>80</v>
      </c>
      <c r="H434" s="13">
        <v>0</v>
      </c>
      <c r="I434" s="13">
        <v>0</v>
      </c>
      <c r="J434" s="13" t="s">
        <v>1272</v>
      </c>
      <c r="K434" s="13" t="s">
        <v>1188</v>
      </c>
      <c r="L434" s="15" t="s">
        <v>16</v>
      </c>
      <c r="M434" s="15" t="s">
        <v>49</v>
      </c>
      <c r="N434" s="3"/>
    </row>
    <row r="435" spans="1:14" x14ac:dyDescent="0.35">
      <c r="A435" s="13">
        <v>434</v>
      </c>
      <c r="B435" s="13" t="s">
        <v>591</v>
      </c>
      <c r="C435" s="13" t="s">
        <v>76</v>
      </c>
      <c r="D435" s="13" t="s">
        <v>1273</v>
      </c>
      <c r="E435" s="3" t="s">
        <v>1274</v>
      </c>
      <c r="F435" s="13" t="s">
        <v>1186</v>
      </c>
      <c r="G435" s="13" t="s">
        <v>80</v>
      </c>
      <c r="H435" s="13">
        <v>0</v>
      </c>
      <c r="I435" s="13">
        <v>0</v>
      </c>
      <c r="J435" s="13" t="s">
        <v>1275</v>
      </c>
      <c r="K435" s="13" t="s">
        <v>1188</v>
      </c>
      <c r="L435" s="15" t="s">
        <v>12</v>
      </c>
      <c r="M435" s="15" t="s">
        <v>43</v>
      </c>
      <c r="N435" s="3"/>
    </row>
    <row r="436" spans="1:14" x14ac:dyDescent="0.35">
      <c r="A436" s="13">
        <v>435</v>
      </c>
      <c r="B436" s="13" t="s">
        <v>591</v>
      </c>
      <c r="C436" s="13" t="s">
        <v>76</v>
      </c>
      <c r="D436" s="13" t="s">
        <v>652</v>
      </c>
      <c r="E436" s="3" t="s">
        <v>1276</v>
      </c>
      <c r="F436" s="13" t="s">
        <v>1186</v>
      </c>
      <c r="G436" s="13" t="s">
        <v>80</v>
      </c>
      <c r="H436" s="13">
        <v>0</v>
      </c>
      <c r="I436" s="13">
        <v>0</v>
      </c>
      <c r="J436" s="13" t="s">
        <v>1277</v>
      </c>
      <c r="K436" s="13" t="s">
        <v>1188</v>
      </c>
      <c r="L436" s="15" t="s">
        <v>12</v>
      </c>
      <c r="M436" s="15" t="s">
        <v>43</v>
      </c>
      <c r="N436" s="3"/>
    </row>
    <row r="437" spans="1:14" x14ac:dyDescent="0.35">
      <c r="A437" s="13">
        <v>436</v>
      </c>
      <c r="B437" s="13" t="s">
        <v>591</v>
      </c>
      <c r="C437" s="13" t="s">
        <v>76</v>
      </c>
      <c r="D437" s="13" t="s">
        <v>1278</v>
      </c>
      <c r="E437" s="3" t="s">
        <v>1279</v>
      </c>
      <c r="F437" s="13" t="s">
        <v>1186</v>
      </c>
      <c r="G437" s="13" t="s">
        <v>80</v>
      </c>
      <c r="H437" s="13">
        <v>2</v>
      </c>
      <c r="I437" s="13">
        <v>1</v>
      </c>
      <c r="J437" s="13" t="s">
        <v>1280</v>
      </c>
      <c r="K437" s="13" t="s">
        <v>1188</v>
      </c>
      <c r="L437" s="15" t="s">
        <v>16</v>
      </c>
      <c r="M437" s="15" t="s">
        <v>49</v>
      </c>
      <c r="N437" s="3"/>
    </row>
    <row r="438" spans="1:14" x14ac:dyDescent="0.35">
      <c r="A438" s="13">
        <v>437</v>
      </c>
      <c r="B438" s="13" t="s">
        <v>591</v>
      </c>
      <c r="C438" s="13" t="s">
        <v>76</v>
      </c>
      <c r="D438" s="13" t="s">
        <v>1278</v>
      </c>
      <c r="E438" s="3" t="s">
        <v>1281</v>
      </c>
      <c r="F438" s="13" t="s">
        <v>1186</v>
      </c>
      <c r="G438" s="13" t="s">
        <v>80</v>
      </c>
      <c r="H438" s="13">
        <v>0</v>
      </c>
      <c r="I438" s="13">
        <v>0</v>
      </c>
      <c r="J438" s="13" t="s">
        <v>1282</v>
      </c>
      <c r="K438" s="13" t="s">
        <v>1188</v>
      </c>
      <c r="L438" s="15" t="s">
        <v>32</v>
      </c>
      <c r="M438" s="15" t="s">
        <v>49</v>
      </c>
      <c r="N438" s="3"/>
    </row>
    <row r="439" spans="1:14" ht="25" x14ac:dyDescent="0.35">
      <c r="A439" s="13">
        <v>438</v>
      </c>
      <c r="B439" s="13" t="s">
        <v>591</v>
      </c>
      <c r="C439" s="13" t="s">
        <v>76</v>
      </c>
      <c r="D439" s="13" t="s">
        <v>1283</v>
      </c>
      <c r="E439" s="3" t="s">
        <v>1284</v>
      </c>
      <c r="F439" s="13" t="s">
        <v>1186</v>
      </c>
      <c r="G439" s="13" t="s">
        <v>80</v>
      </c>
      <c r="H439" s="13">
        <v>2</v>
      </c>
      <c r="I439" s="13">
        <v>0</v>
      </c>
      <c r="J439" s="13" t="s">
        <v>1285</v>
      </c>
      <c r="K439" s="13" t="s">
        <v>1188</v>
      </c>
      <c r="L439" s="15" t="s">
        <v>8</v>
      </c>
      <c r="M439" s="15" t="s">
        <v>43</v>
      </c>
      <c r="N439" s="3"/>
    </row>
    <row r="440" spans="1:14" ht="25" x14ac:dyDescent="0.35">
      <c r="A440" s="13">
        <v>439</v>
      </c>
      <c r="B440" s="13" t="s">
        <v>591</v>
      </c>
      <c r="C440" s="13" t="s">
        <v>76</v>
      </c>
      <c r="D440" s="13" t="s">
        <v>1149</v>
      </c>
      <c r="E440" s="3" t="s">
        <v>1286</v>
      </c>
      <c r="F440" s="13" t="s">
        <v>1186</v>
      </c>
      <c r="G440" s="13" t="s">
        <v>80</v>
      </c>
      <c r="H440" s="13">
        <v>0</v>
      </c>
      <c r="I440" s="13">
        <v>0</v>
      </c>
      <c r="J440" s="13" t="s">
        <v>1287</v>
      </c>
      <c r="K440" s="13" t="s">
        <v>1188</v>
      </c>
      <c r="L440" s="15" t="s">
        <v>24</v>
      </c>
      <c r="M440" s="15" t="s">
        <v>46</v>
      </c>
      <c r="N440" s="3"/>
    </row>
    <row r="441" spans="1:14" x14ac:dyDescent="0.35">
      <c r="A441" s="13">
        <v>440</v>
      </c>
      <c r="B441" s="13" t="s">
        <v>591</v>
      </c>
      <c r="C441" s="13" t="s">
        <v>76</v>
      </c>
      <c r="D441" s="13" t="s">
        <v>1288</v>
      </c>
      <c r="E441" s="3" t="s">
        <v>1289</v>
      </c>
      <c r="F441" s="13" t="s">
        <v>1186</v>
      </c>
      <c r="G441" s="13" t="s">
        <v>80</v>
      </c>
      <c r="H441" s="13">
        <v>0</v>
      </c>
      <c r="I441" s="13">
        <v>0</v>
      </c>
      <c r="J441" s="13" t="s">
        <v>1290</v>
      </c>
      <c r="K441" s="13" t="s">
        <v>1188</v>
      </c>
      <c r="L441" s="15" t="s">
        <v>24</v>
      </c>
      <c r="M441" s="15" t="s">
        <v>46</v>
      </c>
      <c r="N441" s="3"/>
    </row>
    <row r="442" spans="1:14" x14ac:dyDescent="0.35">
      <c r="A442" s="13">
        <v>441</v>
      </c>
      <c r="B442" s="13" t="s">
        <v>591</v>
      </c>
      <c r="C442" s="13" t="s">
        <v>76</v>
      </c>
      <c r="D442" s="13" t="s">
        <v>1291</v>
      </c>
      <c r="E442" s="3" t="s">
        <v>1292</v>
      </c>
      <c r="F442" s="13" t="s">
        <v>1186</v>
      </c>
      <c r="G442" s="13" t="s">
        <v>80</v>
      </c>
      <c r="H442" s="13">
        <v>0</v>
      </c>
      <c r="I442" s="13">
        <v>0</v>
      </c>
      <c r="J442" s="13" t="s">
        <v>1293</v>
      </c>
      <c r="K442" s="13" t="s">
        <v>1188</v>
      </c>
      <c r="L442" s="15" t="s">
        <v>32</v>
      </c>
      <c r="M442" s="15" t="s">
        <v>49</v>
      </c>
      <c r="N442" s="3"/>
    </row>
    <row r="443" spans="1:14" x14ac:dyDescent="0.35">
      <c r="A443" s="13">
        <v>442</v>
      </c>
      <c r="B443" s="13" t="s">
        <v>591</v>
      </c>
      <c r="C443" s="13" t="s">
        <v>76</v>
      </c>
      <c r="D443" s="13" t="s">
        <v>1294</v>
      </c>
      <c r="E443" s="3" t="s">
        <v>1295</v>
      </c>
      <c r="F443" s="13" t="s">
        <v>1186</v>
      </c>
      <c r="G443" s="13" t="s">
        <v>80</v>
      </c>
      <c r="H443" s="13">
        <v>0</v>
      </c>
      <c r="I443" s="13">
        <v>0</v>
      </c>
      <c r="J443" s="13" t="s">
        <v>1296</v>
      </c>
      <c r="K443" s="13" t="s">
        <v>1188</v>
      </c>
      <c r="L443" s="15" t="s">
        <v>8</v>
      </c>
      <c r="M443" s="15" t="s">
        <v>43</v>
      </c>
      <c r="N443" s="3"/>
    </row>
    <row r="444" spans="1:14" x14ac:dyDescent="0.35">
      <c r="A444" s="13">
        <v>443</v>
      </c>
      <c r="B444" s="13" t="s">
        <v>591</v>
      </c>
      <c r="C444" s="13" t="s">
        <v>76</v>
      </c>
      <c r="D444" s="13" t="s">
        <v>1297</v>
      </c>
      <c r="E444" s="3" t="s">
        <v>1298</v>
      </c>
      <c r="F444" s="13" t="s">
        <v>1186</v>
      </c>
      <c r="G444" s="13" t="s">
        <v>80</v>
      </c>
      <c r="H444" s="13">
        <v>0</v>
      </c>
      <c r="I444" s="13">
        <v>0</v>
      </c>
      <c r="J444" s="13" t="s">
        <v>1299</v>
      </c>
      <c r="K444" s="13" t="s">
        <v>1188</v>
      </c>
      <c r="L444" s="15" t="s">
        <v>16</v>
      </c>
      <c r="M444" s="15" t="s">
        <v>49</v>
      </c>
      <c r="N444" s="3"/>
    </row>
    <row r="445" spans="1:14" x14ac:dyDescent="0.35">
      <c r="A445" s="13">
        <v>444</v>
      </c>
      <c r="B445" s="13" t="s">
        <v>591</v>
      </c>
      <c r="C445" s="13" t="s">
        <v>76</v>
      </c>
      <c r="D445" s="13" t="s">
        <v>1300</v>
      </c>
      <c r="E445" s="3" t="s">
        <v>1301</v>
      </c>
      <c r="F445" s="13" t="s">
        <v>1186</v>
      </c>
      <c r="G445" s="13" t="s">
        <v>80</v>
      </c>
      <c r="H445" s="13">
        <v>0</v>
      </c>
      <c r="I445" s="13">
        <v>0</v>
      </c>
      <c r="J445" s="13" t="s">
        <v>1302</v>
      </c>
      <c r="K445" s="13" t="s">
        <v>1188</v>
      </c>
      <c r="L445" s="15" t="s">
        <v>16</v>
      </c>
      <c r="M445" s="15" t="s">
        <v>49</v>
      </c>
      <c r="N445" s="3"/>
    </row>
    <row r="446" spans="1:14" x14ac:dyDescent="0.35">
      <c r="A446" s="13">
        <v>445</v>
      </c>
      <c r="B446" s="13" t="s">
        <v>591</v>
      </c>
      <c r="C446" s="13" t="s">
        <v>76</v>
      </c>
      <c r="D446" s="13" t="s">
        <v>707</v>
      </c>
      <c r="E446" s="3" t="s">
        <v>1303</v>
      </c>
      <c r="F446" s="13" t="s">
        <v>1186</v>
      </c>
      <c r="G446" s="13" t="s">
        <v>80</v>
      </c>
      <c r="H446" s="13">
        <v>0</v>
      </c>
      <c r="I446" s="13">
        <v>0</v>
      </c>
      <c r="J446" s="13" t="s">
        <v>1304</v>
      </c>
      <c r="K446" s="13" t="s">
        <v>1188</v>
      </c>
      <c r="L446" s="15" t="s">
        <v>8</v>
      </c>
      <c r="M446" s="15" t="s">
        <v>43</v>
      </c>
      <c r="N446" s="3"/>
    </row>
    <row r="447" spans="1:14" x14ac:dyDescent="0.35">
      <c r="A447" s="13">
        <v>446</v>
      </c>
      <c r="B447" s="13" t="s">
        <v>591</v>
      </c>
      <c r="C447" s="13" t="s">
        <v>76</v>
      </c>
      <c r="D447" s="13" t="s">
        <v>1305</v>
      </c>
      <c r="E447" s="3" t="s">
        <v>1306</v>
      </c>
      <c r="F447" s="13" t="s">
        <v>1186</v>
      </c>
      <c r="G447" s="13" t="s">
        <v>80</v>
      </c>
      <c r="H447" s="13">
        <v>0</v>
      </c>
      <c r="I447" s="13">
        <v>0</v>
      </c>
      <c r="J447" s="13" t="s">
        <v>1307</v>
      </c>
      <c r="K447" s="13" t="s">
        <v>1188</v>
      </c>
      <c r="L447" s="15" t="s">
        <v>16</v>
      </c>
      <c r="M447" s="15" t="s">
        <v>49</v>
      </c>
      <c r="N447" s="3"/>
    </row>
    <row r="448" spans="1:14" x14ac:dyDescent="0.35">
      <c r="A448" s="13">
        <v>447</v>
      </c>
      <c r="B448" s="13" t="s">
        <v>591</v>
      </c>
      <c r="C448" s="13" t="s">
        <v>76</v>
      </c>
      <c r="D448" s="13" t="s">
        <v>1308</v>
      </c>
      <c r="E448" s="3" t="s">
        <v>1309</v>
      </c>
      <c r="F448" s="13" t="s">
        <v>1186</v>
      </c>
      <c r="G448" s="13" t="s">
        <v>80</v>
      </c>
      <c r="H448" s="13">
        <v>0</v>
      </c>
      <c r="I448" s="13">
        <v>0</v>
      </c>
      <c r="J448" s="13" t="s">
        <v>1310</v>
      </c>
      <c r="K448" s="13" t="s">
        <v>1188</v>
      </c>
      <c r="L448" s="15" t="s">
        <v>16</v>
      </c>
      <c r="M448" s="15" t="s">
        <v>49</v>
      </c>
      <c r="N448" s="3"/>
    </row>
    <row r="449" spans="1:14" x14ac:dyDescent="0.35">
      <c r="A449" s="13">
        <v>448</v>
      </c>
      <c r="B449" s="13" t="s">
        <v>591</v>
      </c>
      <c r="C449" s="13" t="s">
        <v>76</v>
      </c>
      <c r="D449" s="13" t="s">
        <v>1311</v>
      </c>
      <c r="E449" s="3" t="s">
        <v>1312</v>
      </c>
      <c r="F449" s="13" t="s">
        <v>1186</v>
      </c>
      <c r="G449" s="13" t="s">
        <v>80</v>
      </c>
      <c r="H449" s="13">
        <v>0</v>
      </c>
      <c r="I449" s="13">
        <v>0</v>
      </c>
      <c r="J449" s="13" t="s">
        <v>1313</v>
      </c>
      <c r="K449" s="13" t="s">
        <v>1188</v>
      </c>
      <c r="L449" s="15" t="s">
        <v>28</v>
      </c>
      <c r="M449" s="15" t="s">
        <v>49</v>
      </c>
      <c r="N449" s="3"/>
    </row>
    <row r="450" spans="1:14" x14ac:dyDescent="0.35">
      <c r="A450" s="13">
        <v>449</v>
      </c>
      <c r="B450" s="13" t="s">
        <v>591</v>
      </c>
      <c r="C450" s="13" t="s">
        <v>76</v>
      </c>
      <c r="D450" s="13" t="s">
        <v>1314</v>
      </c>
      <c r="E450" s="3" t="s">
        <v>1315</v>
      </c>
      <c r="F450" s="13" t="s">
        <v>1186</v>
      </c>
      <c r="G450" s="13" t="s">
        <v>80</v>
      </c>
      <c r="H450" s="13">
        <v>0</v>
      </c>
      <c r="I450" s="13">
        <v>0</v>
      </c>
      <c r="J450" s="13" t="s">
        <v>1316</v>
      </c>
      <c r="K450" s="13" t="s">
        <v>1188</v>
      </c>
      <c r="L450" s="15" t="s">
        <v>16</v>
      </c>
      <c r="M450" s="15" t="s">
        <v>49</v>
      </c>
      <c r="N450" s="3"/>
    </row>
    <row r="451" spans="1:14" x14ac:dyDescent="0.35">
      <c r="A451" s="13">
        <v>450</v>
      </c>
      <c r="B451" s="13" t="s">
        <v>591</v>
      </c>
      <c r="C451" s="13" t="s">
        <v>76</v>
      </c>
      <c r="D451" s="13" t="s">
        <v>329</v>
      </c>
      <c r="E451" s="3" t="s">
        <v>1317</v>
      </c>
      <c r="F451" s="13" t="s">
        <v>1186</v>
      </c>
      <c r="G451" s="13" t="s">
        <v>80</v>
      </c>
      <c r="H451" s="13">
        <v>0</v>
      </c>
      <c r="I451" s="13">
        <v>0</v>
      </c>
      <c r="J451" s="13" t="s">
        <v>1318</v>
      </c>
      <c r="K451" s="13" t="s">
        <v>1188</v>
      </c>
      <c r="L451" s="15" t="s">
        <v>32</v>
      </c>
      <c r="M451" s="15" t="s">
        <v>49</v>
      </c>
      <c r="N451" s="3"/>
    </row>
    <row r="452" spans="1:14" x14ac:dyDescent="0.35">
      <c r="A452" s="13">
        <v>451</v>
      </c>
      <c r="B452" s="13" t="s">
        <v>591</v>
      </c>
      <c r="C452" s="13" t="s">
        <v>76</v>
      </c>
      <c r="D452" s="13" t="s">
        <v>869</v>
      </c>
      <c r="E452" s="3" t="s">
        <v>1319</v>
      </c>
      <c r="F452" s="13" t="s">
        <v>1186</v>
      </c>
      <c r="G452" s="13" t="s">
        <v>84</v>
      </c>
      <c r="H452" s="13">
        <v>4</v>
      </c>
      <c r="I452" s="13">
        <v>0</v>
      </c>
      <c r="J452" s="13" t="s">
        <v>1320</v>
      </c>
      <c r="K452" s="13" t="s">
        <v>1188</v>
      </c>
      <c r="L452" s="15" t="s">
        <v>32</v>
      </c>
      <c r="M452" s="15" t="s">
        <v>49</v>
      </c>
      <c r="N452" s="3"/>
    </row>
    <row r="453" spans="1:14" x14ac:dyDescent="0.35">
      <c r="A453" s="13">
        <v>452</v>
      </c>
      <c r="B453" s="13" t="s">
        <v>591</v>
      </c>
      <c r="C453" s="13" t="s">
        <v>76</v>
      </c>
      <c r="D453" s="13" t="s">
        <v>869</v>
      </c>
      <c r="E453" s="3" t="s">
        <v>1321</v>
      </c>
      <c r="F453" s="13" t="s">
        <v>1186</v>
      </c>
      <c r="G453" s="13" t="s">
        <v>84</v>
      </c>
      <c r="H453" s="13">
        <v>0</v>
      </c>
      <c r="I453" s="13">
        <v>3</v>
      </c>
      <c r="J453" s="13" t="s">
        <v>1322</v>
      </c>
      <c r="K453" s="13" t="s">
        <v>1188</v>
      </c>
      <c r="L453" s="15" t="s">
        <v>32</v>
      </c>
      <c r="M453" s="15" t="s">
        <v>49</v>
      </c>
      <c r="N453" s="3"/>
    </row>
    <row r="454" spans="1:14" x14ac:dyDescent="0.35">
      <c r="A454" s="13">
        <v>453</v>
      </c>
      <c r="B454" s="13" t="s">
        <v>591</v>
      </c>
      <c r="C454" s="13" t="s">
        <v>76</v>
      </c>
      <c r="D454" s="13" t="s">
        <v>1323</v>
      </c>
      <c r="E454" s="3" t="s">
        <v>396</v>
      </c>
      <c r="F454" s="13" t="s">
        <v>1186</v>
      </c>
      <c r="G454" s="13" t="s">
        <v>80</v>
      </c>
      <c r="H454" s="13">
        <v>0</v>
      </c>
      <c r="I454" s="13">
        <v>0</v>
      </c>
      <c r="J454" s="13" t="s">
        <v>1324</v>
      </c>
      <c r="K454" s="13" t="s">
        <v>1188</v>
      </c>
      <c r="L454" s="15" t="s">
        <v>8</v>
      </c>
      <c r="M454" s="15" t="s">
        <v>49</v>
      </c>
      <c r="N454" s="3"/>
    </row>
    <row r="455" spans="1:14" x14ac:dyDescent="0.35">
      <c r="A455" s="13">
        <v>454</v>
      </c>
      <c r="B455" s="13" t="s">
        <v>591</v>
      </c>
      <c r="C455" s="13" t="s">
        <v>76</v>
      </c>
      <c r="D455" s="13" t="s">
        <v>1256</v>
      </c>
      <c r="E455" s="3" t="s">
        <v>1325</v>
      </c>
      <c r="F455" s="13" t="s">
        <v>1186</v>
      </c>
      <c r="G455" s="13" t="s">
        <v>84</v>
      </c>
      <c r="H455" s="13">
        <v>1</v>
      </c>
      <c r="I455" s="13">
        <v>0</v>
      </c>
      <c r="J455" s="13" t="s">
        <v>1326</v>
      </c>
      <c r="K455" s="13" t="s">
        <v>1188</v>
      </c>
      <c r="L455" s="15" t="s">
        <v>32</v>
      </c>
      <c r="M455" s="15" t="s">
        <v>49</v>
      </c>
      <c r="N455" s="3"/>
    </row>
    <row r="456" spans="1:14" x14ac:dyDescent="0.35">
      <c r="A456" s="13">
        <v>455</v>
      </c>
      <c r="B456" s="13" t="s">
        <v>591</v>
      </c>
      <c r="C456" s="13" t="s">
        <v>76</v>
      </c>
      <c r="D456" s="13" t="s">
        <v>869</v>
      </c>
      <c r="E456" s="3" t="s">
        <v>1327</v>
      </c>
      <c r="F456" s="13" t="s">
        <v>1186</v>
      </c>
      <c r="G456" s="13" t="s">
        <v>84</v>
      </c>
      <c r="H456" s="13">
        <v>0</v>
      </c>
      <c r="I456" s="13">
        <v>0</v>
      </c>
      <c r="J456" s="13" t="s">
        <v>1328</v>
      </c>
      <c r="K456" s="13" t="s">
        <v>1188</v>
      </c>
      <c r="L456" s="15" t="s">
        <v>32</v>
      </c>
      <c r="M456" s="15" t="s">
        <v>49</v>
      </c>
      <c r="N456" s="3"/>
    </row>
    <row r="457" spans="1:14" x14ac:dyDescent="0.35">
      <c r="A457" s="13">
        <v>456</v>
      </c>
      <c r="B457" s="13" t="s">
        <v>591</v>
      </c>
      <c r="C457" s="13" t="s">
        <v>76</v>
      </c>
      <c r="D457" s="13" t="s">
        <v>869</v>
      </c>
      <c r="E457" s="3" t="s">
        <v>1329</v>
      </c>
      <c r="F457" s="13" t="s">
        <v>1186</v>
      </c>
      <c r="G457" s="13" t="s">
        <v>84</v>
      </c>
      <c r="H457" s="13">
        <v>1</v>
      </c>
      <c r="I457" s="13">
        <v>0</v>
      </c>
      <c r="J457" s="13" t="s">
        <v>1330</v>
      </c>
      <c r="K457" s="13" t="s">
        <v>1188</v>
      </c>
      <c r="L457" s="15" t="s">
        <v>24</v>
      </c>
      <c r="M457" s="15" t="s">
        <v>46</v>
      </c>
      <c r="N457" s="3"/>
    </row>
    <row r="458" spans="1:14" x14ac:dyDescent="0.35">
      <c r="A458" s="13">
        <v>457</v>
      </c>
      <c r="B458" s="13" t="s">
        <v>591</v>
      </c>
      <c r="C458" s="13" t="s">
        <v>76</v>
      </c>
      <c r="D458" s="13" t="s">
        <v>1331</v>
      </c>
      <c r="E458" s="3" t="s">
        <v>1332</v>
      </c>
      <c r="F458" s="13" t="s">
        <v>1186</v>
      </c>
      <c r="G458" s="13" t="s">
        <v>80</v>
      </c>
      <c r="H458" s="13">
        <v>1</v>
      </c>
      <c r="I458" s="13">
        <v>0</v>
      </c>
      <c r="J458" s="13" t="s">
        <v>1333</v>
      </c>
      <c r="K458" s="13" t="s">
        <v>1188</v>
      </c>
      <c r="L458" s="15" t="s">
        <v>8</v>
      </c>
      <c r="M458" s="15" t="s">
        <v>43</v>
      </c>
      <c r="N458" s="3"/>
    </row>
    <row r="459" spans="1:14" x14ac:dyDescent="0.35">
      <c r="A459" s="13">
        <v>458</v>
      </c>
      <c r="B459" s="13" t="s">
        <v>758</v>
      </c>
      <c r="C459" s="13" t="s">
        <v>76</v>
      </c>
      <c r="D459" s="13" t="s">
        <v>762</v>
      </c>
      <c r="E459" s="3" t="s">
        <v>1334</v>
      </c>
      <c r="F459" s="13" t="s">
        <v>1186</v>
      </c>
      <c r="G459" s="13" t="s">
        <v>80</v>
      </c>
      <c r="H459" s="13">
        <v>0</v>
      </c>
      <c r="I459" s="13">
        <v>0</v>
      </c>
      <c r="J459" s="13" t="s">
        <v>1335</v>
      </c>
      <c r="K459" s="13" t="s">
        <v>1188</v>
      </c>
      <c r="L459" s="15" t="s">
        <v>8</v>
      </c>
      <c r="M459" s="15" t="s">
        <v>43</v>
      </c>
      <c r="N459" s="3"/>
    </row>
    <row r="460" spans="1:14" x14ac:dyDescent="0.35">
      <c r="A460" s="13">
        <v>459</v>
      </c>
      <c r="B460" s="13" t="s">
        <v>758</v>
      </c>
      <c r="C460" s="13" t="s">
        <v>76</v>
      </c>
      <c r="D460" s="13" t="s">
        <v>1336</v>
      </c>
      <c r="E460" s="3" t="s">
        <v>1337</v>
      </c>
      <c r="F460" s="13" t="s">
        <v>1186</v>
      </c>
      <c r="G460" s="13" t="s">
        <v>80</v>
      </c>
      <c r="H460" s="13">
        <v>2</v>
      </c>
      <c r="I460" s="13">
        <v>0</v>
      </c>
      <c r="J460" s="13" t="s">
        <v>1338</v>
      </c>
      <c r="K460" s="13" t="s">
        <v>1188</v>
      </c>
      <c r="L460" s="15" t="s">
        <v>8</v>
      </c>
      <c r="M460" s="15" t="s">
        <v>43</v>
      </c>
      <c r="N460" s="3"/>
    </row>
    <row r="461" spans="1:14" x14ac:dyDescent="0.35">
      <c r="A461" s="13">
        <v>460</v>
      </c>
      <c r="B461" s="13" t="s">
        <v>758</v>
      </c>
      <c r="C461" s="13" t="s">
        <v>76</v>
      </c>
      <c r="D461" s="13" t="s">
        <v>1339</v>
      </c>
      <c r="E461" s="3" t="s">
        <v>1340</v>
      </c>
      <c r="F461" s="13" t="s">
        <v>1186</v>
      </c>
      <c r="G461" s="13" t="s">
        <v>80</v>
      </c>
      <c r="H461" s="13">
        <v>1</v>
      </c>
      <c r="I461" s="13">
        <v>0</v>
      </c>
      <c r="J461" s="13" t="s">
        <v>1341</v>
      </c>
      <c r="K461" s="13" t="s">
        <v>1188</v>
      </c>
      <c r="L461" s="15" t="s">
        <v>8</v>
      </c>
      <c r="M461" s="15" t="s">
        <v>43</v>
      </c>
      <c r="N461" s="3"/>
    </row>
    <row r="462" spans="1:14" x14ac:dyDescent="0.35">
      <c r="A462" s="13">
        <v>461</v>
      </c>
      <c r="B462" s="13" t="s">
        <v>758</v>
      </c>
      <c r="C462" s="13" t="s">
        <v>76</v>
      </c>
      <c r="D462" s="13" t="s">
        <v>1342</v>
      </c>
      <c r="E462" s="3" t="s">
        <v>1343</v>
      </c>
      <c r="F462" s="13" t="s">
        <v>1186</v>
      </c>
      <c r="G462" s="13" t="s">
        <v>80</v>
      </c>
      <c r="H462" s="13">
        <v>0</v>
      </c>
      <c r="I462" s="13">
        <v>0</v>
      </c>
      <c r="J462" s="13" t="s">
        <v>1344</v>
      </c>
      <c r="K462" s="13" t="s">
        <v>1188</v>
      </c>
      <c r="L462" s="15" t="s">
        <v>16</v>
      </c>
      <c r="M462" s="15" t="s">
        <v>49</v>
      </c>
      <c r="N462" s="3"/>
    </row>
    <row r="463" spans="1:14" x14ac:dyDescent="0.35">
      <c r="A463" s="13">
        <v>462</v>
      </c>
      <c r="B463" s="13" t="s">
        <v>758</v>
      </c>
      <c r="C463" s="13" t="s">
        <v>76</v>
      </c>
      <c r="D463" s="13" t="s">
        <v>1345</v>
      </c>
      <c r="E463" s="3" t="s">
        <v>1346</v>
      </c>
      <c r="F463" s="13" t="s">
        <v>1186</v>
      </c>
      <c r="G463" s="13" t="s">
        <v>80</v>
      </c>
      <c r="H463" s="13">
        <v>0</v>
      </c>
      <c r="I463" s="13">
        <v>0</v>
      </c>
      <c r="J463" s="13" t="s">
        <v>1347</v>
      </c>
      <c r="K463" s="13" t="s">
        <v>1188</v>
      </c>
      <c r="L463" s="15" t="s">
        <v>16</v>
      </c>
      <c r="M463" s="15" t="s">
        <v>49</v>
      </c>
      <c r="N463" s="3"/>
    </row>
    <row r="464" spans="1:14" x14ac:dyDescent="0.35">
      <c r="A464" s="13">
        <v>463</v>
      </c>
      <c r="B464" s="13" t="s">
        <v>758</v>
      </c>
      <c r="C464" s="13" t="s">
        <v>76</v>
      </c>
      <c r="D464" s="13" t="s">
        <v>1348</v>
      </c>
      <c r="E464" s="3" t="s">
        <v>1349</v>
      </c>
      <c r="F464" s="13" t="s">
        <v>1186</v>
      </c>
      <c r="G464" s="13" t="s">
        <v>80</v>
      </c>
      <c r="H464" s="13">
        <v>0</v>
      </c>
      <c r="I464" s="13">
        <v>0</v>
      </c>
      <c r="J464" s="13" t="s">
        <v>1350</v>
      </c>
      <c r="K464" s="13" t="s">
        <v>1188</v>
      </c>
      <c r="L464" s="15" t="s">
        <v>28</v>
      </c>
      <c r="M464" s="15" t="s">
        <v>49</v>
      </c>
      <c r="N464" s="3"/>
    </row>
    <row r="465" spans="1:14" x14ac:dyDescent="0.35">
      <c r="A465" s="13">
        <v>464</v>
      </c>
      <c r="B465" s="13" t="s">
        <v>758</v>
      </c>
      <c r="C465" s="13" t="s">
        <v>76</v>
      </c>
      <c r="D465" s="13" t="s">
        <v>1351</v>
      </c>
      <c r="E465" s="3" t="s">
        <v>1352</v>
      </c>
      <c r="F465" s="13" t="s">
        <v>1186</v>
      </c>
      <c r="G465" s="13" t="s">
        <v>80</v>
      </c>
      <c r="H465" s="13">
        <v>0</v>
      </c>
      <c r="I465" s="13">
        <v>0</v>
      </c>
      <c r="J465" s="13" t="s">
        <v>1353</v>
      </c>
      <c r="K465" s="13" t="s">
        <v>1188</v>
      </c>
      <c r="L465" s="15" t="s">
        <v>36</v>
      </c>
      <c r="M465" s="15" t="s">
        <v>49</v>
      </c>
      <c r="N465" s="3"/>
    </row>
    <row r="466" spans="1:14" x14ac:dyDescent="0.35">
      <c r="A466" s="13">
        <v>465</v>
      </c>
      <c r="B466" s="13" t="s">
        <v>758</v>
      </c>
      <c r="C466" s="13" t="s">
        <v>76</v>
      </c>
      <c r="D466" s="13" t="s">
        <v>1351</v>
      </c>
      <c r="E466" s="3" t="s">
        <v>1354</v>
      </c>
      <c r="F466" s="13" t="s">
        <v>1186</v>
      </c>
      <c r="G466" s="13" t="s">
        <v>80</v>
      </c>
      <c r="H466" s="13">
        <v>0</v>
      </c>
      <c r="I466" s="13">
        <v>0</v>
      </c>
      <c r="J466" s="13" t="s">
        <v>1355</v>
      </c>
      <c r="K466" s="13" t="s">
        <v>1188</v>
      </c>
      <c r="L466" s="15" t="s">
        <v>36</v>
      </c>
      <c r="M466" s="15" t="s">
        <v>49</v>
      </c>
      <c r="N466" s="3"/>
    </row>
    <row r="467" spans="1:14" ht="37.5" x14ac:dyDescent="0.35">
      <c r="A467" s="13">
        <v>466</v>
      </c>
      <c r="B467" s="13" t="s">
        <v>758</v>
      </c>
      <c r="C467" s="13" t="s">
        <v>76</v>
      </c>
      <c r="D467" s="13" t="s">
        <v>1356</v>
      </c>
      <c r="E467" s="3" t="s">
        <v>1357</v>
      </c>
      <c r="F467" s="13" t="s">
        <v>1186</v>
      </c>
      <c r="G467" s="13" t="s">
        <v>80</v>
      </c>
      <c r="H467" s="13">
        <v>0</v>
      </c>
      <c r="I467" s="13">
        <v>0</v>
      </c>
      <c r="J467" s="13" t="s">
        <v>1358</v>
      </c>
      <c r="K467" s="13" t="s">
        <v>1188</v>
      </c>
      <c r="L467" s="15" t="s">
        <v>24</v>
      </c>
      <c r="M467" s="15" t="s">
        <v>46</v>
      </c>
      <c r="N467" s="3"/>
    </row>
    <row r="468" spans="1:14" x14ac:dyDescent="0.35">
      <c r="A468" s="13">
        <v>467</v>
      </c>
      <c r="B468" s="13" t="s">
        <v>758</v>
      </c>
      <c r="C468" s="13" t="s">
        <v>76</v>
      </c>
      <c r="D468" s="13" t="s">
        <v>1359</v>
      </c>
      <c r="E468" s="3" t="s">
        <v>1360</v>
      </c>
      <c r="F468" s="13" t="s">
        <v>1186</v>
      </c>
      <c r="G468" s="13" t="s">
        <v>80</v>
      </c>
      <c r="H468" s="13">
        <v>0</v>
      </c>
      <c r="I468" s="13">
        <v>0</v>
      </c>
      <c r="J468" s="13" t="s">
        <v>1361</v>
      </c>
      <c r="K468" s="13" t="s">
        <v>1188</v>
      </c>
      <c r="L468" s="15" t="s">
        <v>16</v>
      </c>
      <c r="M468" s="15" t="s">
        <v>49</v>
      </c>
      <c r="N468" s="3"/>
    </row>
    <row r="469" spans="1:14" x14ac:dyDescent="0.35">
      <c r="A469" s="13">
        <v>468</v>
      </c>
      <c r="B469" s="13" t="s">
        <v>758</v>
      </c>
      <c r="C469" s="13" t="s">
        <v>76</v>
      </c>
      <c r="D469" s="13" t="s">
        <v>1362</v>
      </c>
      <c r="E469" s="3" t="s">
        <v>1363</v>
      </c>
      <c r="F469" s="13" t="s">
        <v>1186</v>
      </c>
      <c r="G469" s="13" t="s">
        <v>80</v>
      </c>
      <c r="H469" s="13">
        <v>0</v>
      </c>
      <c r="I469" s="13">
        <v>0</v>
      </c>
      <c r="J469" s="13" t="s">
        <v>1364</v>
      </c>
      <c r="K469" s="13" t="s">
        <v>1188</v>
      </c>
      <c r="L469" s="15" t="s">
        <v>16</v>
      </c>
      <c r="M469" s="15" t="s">
        <v>49</v>
      </c>
      <c r="N469" s="3"/>
    </row>
    <row r="470" spans="1:14" x14ac:dyDescent="0.35">
      <c r="A470" s="13">
        <v>469</v>
      </c>
      <c r="B470" s="13" t="s">
        <v>758</v>
      </c>
      <c r="C470" s="13" t="s">
        <v>76</v>
      </c>
      <c r="D470" s="13" t="s">
        <v>1365</v>
      </c>
      <c r="E470" s="3" t="s">
        <v>396</v>
      </c>
      <c r="F470" s="13" t="s">
        <v>1186</v>
      </c>
      <c r="G470" s="13" t="s">
        <v>80</v>
      </c>
      <c r="H470" s="13">
        <v>0</v>
      </c>
      <c r="I470" s="13">
        <v>0</v>
      </c>
      <c r="J470" s="13" t="s">
        <v>1366</v>
      </c>
      <c r="K470" s="13" t="s">
        <v>1188</v>
      </c>
      <c r="L470" s="15" t="s">
        <v>36</v>
      </c>
      <c r="M470" s="15" t="s">
        <v>49</v>
      </c>
      <c r="N470" s="3"/>
    </row>
    <row r="471" spans="1:14" x14ac:dyDescent="0.35">
      <c r="A471" s="13">
        <v>470</v>
      </c>
      <c r="B471" s="13" t="s">
        <v>758</v>
      </c>
      <c r="C471" s="13" t="s">
        <v>76</v>
      </c>
      <c r="D471" s="13" t="s">
        <v>1365</v>
      </c>
      <c r="E471" s="3" t="s">
        <v>1367</v>
      </c>
      <c r="F471" s="13" t="s">
        <v>1186</v>
      </c>
      <c r="G471" s="13" t="s">
        <v>80</v>
      </c>
      <c r="H471" s="13">
        <v>0</v>
      </c>
      <c r="I471" s="13">
        <v>0</v>
      </c>
      <c r="J471" s="13" t="s">
        <v>1368</v>
      </c>
      <c r="K471" s="13" t="s">
        <v>1188</v>
      </c>
      <c r="L471" s="15" t="s">
        <v>24</v>
      </c>
      <c r="M471" s="15" t="s">
        <v>46</v>
      </c>
      <c r="N471" s="3"/>
    </row>
    <row r="472" spans="1:14" x14ac:dyDescent="0.35">
      <c r="A472" s="13">
        <v>471</v>
      </c>
      <c r="B472" s="13" t="s">
        <v>828</v>
      </c>
      <c r="C472" s="13" t="s">
        <v>76</v>
      </c>
      <c r="D472" s="13" t="s">
        <v>1369</v>
      </c>
      <c r="E472" s="3" t="s">
        <v>1370</v>
      </c>
      <c r="F472" s="13" t="s">
        <v>1186</v>
      </c>
      <c r="G472" s="13" t="s">
        <v>80</v>
      </c>
      <c r="H472" s="13">
        <v>0</v>
      </c>
      <c r="I472" s="13">
        <v>0</v>
      </c>
      <c r="J472" s="13" t="s">
        <v>1371</v>
      </c>
      <c r="K472" s="13" t="s">
        <v>1188</v>
      </c>
      <c r="L472" s="15" t="s">
        <v>16</v>
      </c>
      <c r="M472" s="15" t="s">
        <v>49</v>
      </c>
      <c r="N472" s="3"/>
    </row>
    <row r="473" spans="1:14" ht="25" x14ac:dyDescent="0.35">
      <c r="A473" s="13">
        <v>472</v>
      </c>
      <c r="B473" s="13" t="s">
        <v>838</v>
      </c>
      <c r="C473" s="13" t="s">
        <v>76</v>
      </c>
      <c r="D473" s="13" t="s">
        <v>1372</v>
      </c>
      <c r="E473" s="3" t="s">
        <v>1373</v>
      </c>
      <c r="F473" s="13" t="s">
        <v>1186</v>
      </c>
      <c r="G473" s="13" t="s">
        <v>80</v>
      </c>
      <c r="H473" s="13">
        <v>0</v>
      </c>
      <c r="I473" s="13">
        <v>0</v>
      </c>
      <c r="J473" s="13" t="s">
        <v>1374</v>
      </c>
      <c r="K473" s="13" t="s">
        <v>1188</v>
      </c>
      <c r="L473" s="15" t="s">
        <v>24</v>
      </c>
      <c r="M473" s="15" t="s">
        <v>46</v>
      </c>
      <c r="N473" s="3"/>
    </row>
    <row r="474" spans="1:14" x14ac:dyDescent="0.35">
      <c r="A474" s="13">
        <v>473</v>
      </c>
      <c r="B474" s="13" t="s">
        <v>844</v>
      </c>
      <c r="C474" s="13" t="s">
        <v>76</v>
      </c>
      <c r="D474" s="13" t="s">
        <v>1375</v>
      </c>
      <c r="E474" s="3" t="s">
        <v>1376</v>
      </c>
      <c r="F474" s="13" t="s">
        <v>1186</v>
      </c>
      <c r="G474" s="13" t="s">
        <v>80</v>
      </c>
      <c r="H474" s="13">
        <v>0</v>
      </c>
      <c r="I474" s="13">
        <v>0</v>
      </c>
      <c r="J474" s="13" t="s">
        <v>1377</v>
      </c>
      <c r="K474" s="13" t="s">
        <v>1188</v>
      </c>
      <c r="L474" s="15" t="s">
        <v>8</v>
      </c>
      <c r="M474" s="15" t="s">
        <v>43</v>
      </c>
      <c r="N474" s="3"/>
    </row>
  </sheetData>
  <autoFilter ref="A1:N474" xr:uid="{00000000-0009-0000-0000-000001000000}"/>
  <conditionalFormatting sqref="L2:M474">
    <cfRule type="expression" dxfId="2" priority="3">
      <formula>L2=""</formula>
    </cfRule>
    <cfRule type="expression" dxfId="1" priority="4">
      <formula>L2&lt;&gt;""</formula>
    </cfRule>
  </conditionalFormatting>
  <conditionalFormatting sqref="A2:N474">
    <cfRule type="expression" dxfId="0" priority="5">
      <formula>#REF!="Perlu Ditinjau Manual"</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ErrorMessage="1" errorTitle="Kategori tidak valid" error="Pilih salah satu kategori dari daftar dropdown." xr:uid="{00000000-0002-0000-0100-000000000000}">
          <x14:formula1>
            <xm:f>Referensi!$A$2:$A$9</xm:f>
          </x14:formula1>
          <x14:formula2>
            <xm:f>0</xm:f>
          </x14:formula2>
          <xm:sqref>L2:L474</xm:sqref>
        </x14:dataValidation>
        <x14:dataValidation type="list" allowBlank="1" showErrorMessage="1" errorTitle="Sentimen tidak valid" error="Pilih salah satu: Positif, Negatif, atau Netral." xr:uid="{00000000-0002-0000-0100-000001000000}">
          <x14:formula1>
            <xm:f>Referensi!$B$2:$B$4</xm:f>
          </x14:formula1>
          <x14:formula2>
            <xm:f>0</xm:f>
          </x14:formula2>
          <xm:sqref>M2:M474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zoomScaleNormal="100" workbookViewId="0"/>
  </sheetViews>
  <sheetFormatPr defaultColWidth="8.6328125" defaultRowHeight="14.5" x14ac:dyDescent="0.35"/>
  <sheetData>
    <row r="1" spans="1:2" x14ac:dyDescent="0.35">
      <c r="A1" t="s">
        <v>72</v>
      </c>
      <c r="B1" t="s">
        <v>73</v>
      </c>
    </row>
    <row r="2" spans="1:2" x14ac:dyDescent="0.35">
      <c r="A2" t="s">
        <v>8</v>
      </c>
      <c r="B2" t="s">
        <v>43</v>
      </c>
    </row>
    <row r="3" spans="1:2" x14ac:dyDescent="0.35">
      <c r="A3" t="s">
        <v>12</v>
      </c>
      <c r="B3" t="s">
        <v>46</v>
      </c>
    </row>
    <row r="4" spans="1:2" x14ac:dyDescent="0.35">
      <c r="A4" t="s">
        <v>16</v>
      </c>
      <c r="B4" t="s">
        <v>49</v>
      </c>
    </row>
    <row r="5" spans="1:2" x14ac:dyDescent="0.35">
      <c r="A5" t="s">
        <v>20</v>
      </c>
    </row>
    <row r="6" spans="1:2" x14ac:dyDescent="0.35">
      <c r="A6" t="s">
        <v>24</v>
      </c>
    </row>
    <row r="7" spans="1:2" x14ac:dyDescent="0.35">
      <c r="A7" t="s">
        <v>28</v>
      </c>
    </row>
    <row r="8" spans="1:2" x14ac:dyDescent="0.35">
      <c r="A8" t="s">
        <v>32</v>
      </c>
    </row>
    <row r="9" spans="1:2" x14ac:dyDescent="0.35">
      <c r="A9" t="s">
        <v>36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Panduan Labeling</vt:lpstr>
      <vt:lpstr>Data Komentar</vt:lpstr>
      <vt:lpstr>Referensi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Saputra Budiman</cp:lastModifiedBy>
  <cp:revision>0</cp:revision>
  <dcterms:created xsi:type="dcterms:W3CDTF">2026-07-27T12:04:34Z</dcterms:created>
  <dcterms:modified xsi:type="dcterms:W3CDTF">2026-07-28T06:04:53Z</dcterms:modified>
  <dc:language>en-US</dc:language>
</cp:coreProperties>
</file>